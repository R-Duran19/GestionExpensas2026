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-6.0.0\www\GestionExpensas2026\"/>
    </mc:Choice>
  </mc:AlternateContent>
  <xr:revisionPtr revIDLastSave="0" documentId="13_ncr:1_{B08C57EE-CD18-4986-B1BB-5EBA8FAAB02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RZO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9" i="3" l="1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L204" i="3" s="1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L188" i="3" s="1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L165" i="3" s="1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L152" i="3" s="1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L112" i="3" s="1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L80" i="3" s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L60" i="3" s="1"/>
  <c r="I59" i="3"/>
  <c r="I58" i="3"/>
  <c r="I57" i="3"/>
  <c r="I56" i="3"/>
  <c r="I55" i="3"/>
  <c r="I54" i="3"/>
  <c r="I53" i="3"/>
  <c r="I52" i="3"/>
  <c r="L52" i="3" s="1"/>
  <c r="I51" i="3"/>
  <c r="I50" i="3"/>
  <c r="I49" i="3"/>
  <c r="I48" i="3"/>
  <c r="I47" i="3"/>
  <c r="I46" i="3"/>
  <c r="I45" i="3"/>
  <c r="I44" i="3"/>
  <c r="I43" i="3"/>
  <c r="I42" i="3"/>
  <c r="I41" i="3"/>
  <c r="I40" i="3"/>
  <c r="L40" i="3" s="1"/>
  <c r="I39" i="3"/>
  <c r="I38" i="3"/>
  <c r="I37" i="3"/>
  <c r="I36" i="3"/>
  <c r="L36" i="3" s="1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F320" i="3"/>
  <c r="L246" i="3"/>
  <c r="L245" i="3"/>
  <c r="L203" i="3"/>
  <c r="L193" i="3"/>
  <c r="L190" i="3"/>
  <c r="L189" i="3"/>
  <c r="L186" i="3"/>
  <c r="L174" i="3"/>
  <c r="L163" i="3"/>
  <c r="L158" i="3"/>
  <c r="L157" i="3"/>
  <c r="L151" i="3"/>
  <c r="L150" i="3"/>
  <c r="L149" i="3"/>
  <c r="L145" i="3"/>
  <c r="L143" i="3"/>
  <c r="L141" i="3"/>
  <c r="L139" i="3"/>
  <c r="L115" i="3"/>
  <c r="L114" i="3"/>
  <c r="L111" i="3"/>
  <c r="L110" i="3"/>
  <c r="L102" i="3"/>
  <c r="L67" i="3"/>
  <c r="L66" i="3"/>
  <c r="L65" i="3"/>
  <c r="L63" i="3"/>
  <c r="L62" i="3"/>
  <c r="L61" i="3"/>
  <c r="L59" i="3"/>
  <c r="L58" i="3"/>
  <c r="L57" i="3"/>
  <c r="L55" i="3"/>
  <c r="L54" i="3"/>
  <c r="L53" i="3"/>
  <c r="L50" i="3"/>
  <c r="L49" i="3"/>
  <c r="L47" i="3"/>
  <c r="L46" i="3"/>
  <c r="L45" i="3"/>
  <c r="L39" i="3"/>
  <c r="L38" i="3"/>
  <c r="B12" i="3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I11" i="3"/>
  <c r="L11" i="3" s="1"/>
  <c r="L321" i="3" l="1"/>
  <c r="I321" i="3"/>
</calcChain>
</file>

<file path=xl/sharedStrings.xml><?xml version="1.0" encoding="utf-8"?>
<sst xmlns="http://schemas.openxmlformats.org/spreadsheetml/2006/main" count="1378" uniqueCount="280">
  <si>
    <t xml:space="preserve">EDIFICIO TORRE FAITH </t>
  </si>
  <si>
    <t>Tabla de Fraccionamiento En Propiedad Horizontal</t>
  </si>
  <si>
    <t>TOTAL M2</t>
  </si>
  <si>
    <t>TOTAL BS.</t>
  </si>
  <si>
    <t>Unidad funcional</t>
  </si>
  <si>
    <t>N°</t>
  </si>
  <si>
    <t xml:space="preserve">Ubicación </t>
  </si>
  <si>
    <t>Total m2</t>
  </si>
  <si>
    <t>Servicios</t>
  </si>
  <si>
    <t>Fraccion X m2</t>
  </si>
  <si>
    <t>Monto (Bs)</t>
  </si>
  <si>
    <t>NOMBRE DE PROPIETARIOS</t>
  </si>
  <si>
    <t>Parqueo Publico</t>
  </si>
  <si>
    <t>125-118</t>
  </si>
  <si>
    <t>Sotano 4</t>
  </si>
  <si>
    <t>APRINTEL SRL</t>
  </si>
  <si>
    <t>parqueo</t>
  </si>
  <si>
    <t>ROSARIO FATIMA GONZALES MURILLO</t>
  </si>
  <si>
    <t>ANA LLERENA URIA</t>
  </si>
  <si>
    <t>LUCIA VALDA</t>
  </si>
  <si>
    <t xml:space="preserve">MIGUELINA JANET LOPEZ </t>
  </si>
  <si>
    <t>ROBERTO KOCK RODRIGUEZ</t>
  </si>
  <si>
    <t>NELLY COMBS</t>
  </si>
  <si>
    <t>CARLOS SALINAS</t>
  </si>
  <si>
    <t>Parqueo Baulera</t>
  </si>
  <si>
    <t>101-68</t>
  </si>
  <si>
    <t>MARTHA HOYOS RODAS</t>
  </si>
  <si>
    <t>99-57</t>
  </si>
  <si>
    <t>LUISA FABIAN MAMANI</t>
  </si>
  <si>
    <t>98-95</t>
  </si>
  <si>
    <t>CARMEN LINO</t>
  </si>
  <si>
    <t>97-94</t>
  </si>
  <si>
    <t>LIZ MORALES SALINAS</t>
  </si>
  <si>
    <t>MARCO ANTONIO JORDAN MENDOZA</t>
  </si>
  <si>
    <t>Baulera</t>
  </si>
  <si>
    <t>RODRIGO FLORES MELGAREJO</t>
  </si>
  <si>
    <t>CARLOS FLORES MELGAREJO</t>
  </si>
  <si>
    <t>CAMILO SERGIO QUIROGA VELASCO</t>
  </si>
  <si>
    <t>Sotano 3</t>
  </si>
  <si>
    <t>RAFAEL BURGOS FLORES</t>
  </si>
  <si>
    <t>ALEJANDRA ALESSANDRI SORIANO</t>
  </si>
  <si>
    <t>LIZETH CARREON</t>
  </si>
  <si>
    <t>MARCELA  GABRIELA TERAN  DE PALMA</t>
  </si>
  <si>
    <t>MARCO ANTONIO VALDIVIA URIA</t>
  </si>
  <si>
    <t>ANA CAROLINA ZALLES REYES</t>
  </si>
  <si>
    <t>73-300</t>
  </si>
  <si>
    <t>RENE BLACUT MAMANI</t>
  </si>
  <si>
    <t>MANUEL ANDRE COSIO NASIF</t>
  </si>
  <si>
    <t>ROXANA JOSEFINA  CHAVEZ TORREZ</t>
  </si>
  <si>
    <t>JUAN JOSE TRIGO MARTINEZ</t>
  </si>
  <si>
    <t>ARIANA TAVERA VARGAS</t>
  </si>
  <si>
    <t>VICTOR PEDRO TORRICO VARGAS</t>
  </si>
  <si>
    <t>APRINTEL</t>
  </si>
  <si>
    <t>Sotano 2</t>
  </si>
  <si>
    <t>RUDY ALEJANDRO CARDOZO FERNANDEZ</t>
  </si>
  <si>
    <t>PATRICIA TORREZ</t>
  </si>
  <si>
    <t>RAMIRO ZALLES PINELL</t>
  </si>
  <si>
    <t>DIEGO ZEGARRA</t>
  </si>
  <si>
    <t>BORIS ZAMBRANA</t>
  </si>
  <si>
    <t xml:space="preserve">ANA MARIA TRIGO MARTINEZ </t>
  </si>
  <si>
    <t>43-11</t>
  </si>
  <si>
    <t>42-12</t>
  </si>
  <si>
    <t>41-13</t>
  </si>
  <si>
    <t>40-14</t>
  </si>
  <si>
    <t>39-15</t>
  </si>
  <si>
    <t>RAUL QUIÑONES  MARQUEZ</t>
  </si>
  <si>
    <t>DENIS GONZALO MENA REVOLLO</t>
  </si>
  <si>
    <t>ELIZABETH WENDELINE SARAVIA</t>
  </si>
  <si>
    <t>XIMENA VASQUEZ PINTO</t>
  </si>
  <si>
    <t>Sotano 1</t>
  </si>
  <si>
    <t>Local</t>
  </si>
  <si>
    <t>Planta 1</t>
  </si>
  <si>
    <t>RODRIGO ALMARAZ BARRIENTOS</t>
  </si>
  <si>
    <t>EVA LUCIANA  ZEGARRA</t>
  </si>
  <si>
    <t>JESICA AJATA</t>
  </si>
  <si>
    <t>FRESIA CRISTINA FLORES</t>
  </si>
  <si>
    <t>Planta 2</t>
  </si>
  <si>
    <t>NELSON ERMES  ROMERO ARMATA</t>
  </si>
  <si>
    <t>LILIAN GISELA ESPEJO SEJAS</t>
  </si>
  <si>
    <t>Oficina</t>
  </si>
  <si>
    <t>Planta 3</t>
  </si>
  <si>
    <t>Planta 4</t>
  </si>
  <si>
    <t>VICTOR RENE CENTENO PALACIOS</t>
  </si>
  <si>
    <t>NILDA RUSA CENTENO VDA.  DE LLANOS</t>
  </si>
  <si>
    <t>A</t>
  </si>
  <si>
    <t>Planta 5</t>
  </si>
  <si>
    <t>B</t>
  </si>
  <si>
    <t>C</t>
  </si>
  <si>
    <t>D</t>
  </si>
  <si>
    <t>E</t>
  </si>
  <si>
    <t>JOSE LUIS MACIAS LOVERA</t>
  </si>
  <si>
    <t>F</t>
  </si>
  <si>
    <t>RENE ORLANDO SALAZAR  SOSSA</t>
  </si>
  <si>
    <t>G</t>
  </si>
  <si>
    <t>Planta 6</t>
  </si>
  <si>
    <t xml:space="preserve">BEATRIZ BRABER VILLEGAS VDA. DE MARTINEZ  </t>
  </si>
  <si>
    <t>EDUARDO SEBASTIAN MEJIA</t>
  </si>
  <si>
    <t>ALBERTO GERARDO BLEICHNER VISCARRA</t>
  </si>
  <si>
    <t>Planta 7</t>
  </si>
  <si>
    <t>MARIA SANDRA SERRATE DE FIORI</t>
  </si>
  <si>
    <t xml:space="preserve">REBECA SYLVIA LUISA BJORLING </t>
  </si>
  <si>
    <t>MARIA ELIZABETH CESPEDES COL</t>
  </si>
  <si>
    <t>Planta 8</t>
  </si>
  <si>
    <t>LUIS FERNANDO LOZA PARI</t>
  </si>
  <si>
    <t>MAURICIO SALAZAR SOSSA</t>
  </si>
  <si>
    <t>JAVIER EDGAR GUTIERREZ  HERRERA</t>
  </si>
  <si>
    <t>ANA CAROLA PEREZ CUETO SUAREZ</t>
  </si>
  <si>
    <t>Planta 9</t>
  </si>
  <si>
    <t>XIMENA ESPRELLA</t>
  </si>
  <si>
    <t xml:space="preserve">SERGIO ALBORTA </t>
  </si>
  <si>
    <t>Planta 10</t>
  </si>
  <si>
    <t>MARCO ANTONIO AJATA LUCANA</t>
  </si>
  <si>
    <t>Departamento</t>
  </si>
  <si>
    <t>Planta 11</t>
  </si>
  <si>
    <t xml:space="preserve">Planta 12 </t>
  </si>
  <si>
    <t>Planta 12</t>
  </si>
  <si>
    <t>Planta 13</t>
  </si>
  <si>
    <t>CARLOS RAMIRO TUBAX OTERO</t>
  </si>
  <si>
    <t>MARIELA FERNANDEZ MALDONADO</t>
  </si>
  <si>
    <t>Planta 14</t>
  </si>
  <si>
    <t>Planta 15</t>
  </si>
  <si>
    <t>MARCO ANTONIO GREGORIO SALCEDO</t>
  </si>
  <si>
    <t>MARIA ELENA CRESPO MASIEL</t>
  </si>
  <si>
    <t>LAURA ISABEL BUENO GONZALES</t>
  </si>
  <si>
    <t xml:space="preserve">Planta 16 </t>
  </si>
  <si>
    <t>Planta 16</t>
  </si>
  <si>
    <t>GARY ZERARRA</t>
  </si>
  <si>
    <t>LISSETTE MAGGY CARREON RUIZ</t>
  </si>
  <si>
    <t>Planta 17</t>
  </si>
  <si>
    <t>JUAN CESAR ANGELERY BERNAL</t>
  </si>
  <si>
    <t>IVANA MELISSA HONOR SANJINES</t>
  </si>
  <si>
    <t>Planta 18</t>
  </si>
  <si>
    <t>MARIA ELENA CRUZ ROMANO</t>
  </si>
  <si>
    <t>Planta 19</t>
  </si>
  <si>
    <t>ROSA ELENA PIJUAN ANGELERI</t>
  </si>
  <si>
    <t xml:space="preserve">JUSTINA AYDE VALENZUELA </t>
  </si>
  <si>
    <t>MARIO HUGO ALBA MONTERO</t>
  </si>
  <si>
    <t>Planta 20</t>
  </si>
  <si>
    <t>MARIA FERNANDA SALAME</t>
  </si>
  <si>
    <t>Planta 21</t>
  </si>
  <si>
    <t>Planta 22</t>
  </si>
  <si>
    <t>ANGELA  ERMINIA CARPIO MORENO</t>
  </si>
  <si>
    <t>planta 23</t>
  </si>
  <si>
    <t>Planta 23</t>
  </si>
  <si>
    <t>GABRIELA MIRIAM GUTIERREZ LARA</t>
  </si>
  <si>
    <t>Planta  24</t>
  </si>
  <si>
    <t>Planta 24</t>
  </si>
  <si>
    <t>KATERINE ARAOZ VELEZ</t>
  </si>
  <si>
    <t>Planta 25</t>
  </si>
  <si>
    <t>SOHRAB TAWACOLI</t>
  </si>
  <si>
    <t>C-T</t>
  </si>
  <si>
    <t>Planta25</t>
  </si>
  <si>
    <t>ELIANA ALVAREZ ABASTO</t>
  </si>
  <si>
    <t>Planta 26</t>
  </si>
  <si>
    <t>LILIAN SELMA GUARDIA MIRANDA</t>
  </si>
  <si>
    <t>JUDITH CRISTINA RIVERO DE INOFUENTES</t>
  </si>
  <si>
    <t>Planta 27</t>
  </si>
  <si>
    <t>Planta 28- Planta 29</t>
  </si>
  <si>
    <t>NANCI CONDORI</t>
  </si>
  <si>
    <t xml:space="preserve">Total m2 </t>
  </si>
  <si>
    <t>TOTAL BOLIVIANOS AL MES</t>
  </si>
  <si>
    <t>DANIEL LECOÑA</t>
  </si>
  <si>
    <t>PAOLA BURGOS</t>
  </si>
  <si>
    <t>LUPE LECOÑA</t>
  </si>
  <si>
    <t>LAURA LECOÑA</t>
  </si>
  <si>
    <t>ROBERTO ROQUE CHOQUE</t>
  </si>
  <si>
    <t>MONICA PATRICIA MURILLO FLORES</t>
  </si>
  <si>
    <t xml:space="preserve">MONICA XIMENA INOFUENTES RIVERO </t>
  </si>
  <si>
    <t>MARIA DEL CARMEN ROCA STEVERLYNCK</t>
  </si>
  <si>
    <t>MAURICIO ERNESTO FARFAN ESPINOZA</t>
  </si>
  <si>
    <t>ROBERTO TEJADA</t>
  </si>
  <si>
    <t>LUIS PACHECO</t>
  </si>
  <si>
    <t>DANIELA VALENTINA TERAN PEÑARANDA</t>
  </si>
  <si>
    <t>ROSARIO BONILLA</t>
  </si>
  <si>
    <t>MICROFINANZA RATING BOLIVIA</t>
  </si>
  <si>
    <t>LUIS SORIA</t>
  </si>
  <si>
    <t>PATRICIA ORRICO  PAPALEO</t>
  </si>
  <si>
    <t>PATRICIA  JORDAN</t>
  </si>
  <si>
    <t>PEDRO ENRIQUEZ MANZILLA RIVAS</t>
  </si>
  <si>
    <t>RODRIGO FERNANDO ALBORTA DE VILLEGAS</t>
  </si>
  <si>
    <t>ARIADNE  ROSITA MICHEL LOPEZ</t>
  </si>
  <si>
    <t>JOSE A RIOS</t>
  </si>
  <si>
    <t>ELSIRA FEDORA CARREÑO</t>
  </si>
  <si>
    <t>JAIME ROZO</t>
  </si>
  <si>
    <t>BEYMAR CHUQUIMIA</t>
  </si>
  <si>
    <t>CARMENSUSANA  LINO ARAMAYO</t>
  </si>
  <si>
    <t>PAOLA ZUBIETA CALVETY</t>
  </si>
  <si>
    <t>SANDRA SORIANO</t>
  </si>
  <si>
    <t>MONICA AYAVIRI</t>
  </si>
  <si>
    <t xml:space="preserve">Departamento </t>
  </si>
  <si>
    <t>MILAN LECOÑA</t>
  </si>
  <si>
    <t>LOCAL 6</t>
  </si>
  <si>
    <t>JOSE ORGAZ ZABALETA</t>
  </si>
  <si>
    <t>8,17 M2 PAGA EMPRESA</t>
  </si>
  <si>
    <t>LOCAL 14</t>
  </si>
  <si>
    <t>LOCAL 12</t>
  </si>
  <si>
    <t>LOCAL  16</t>
  </si>
  <si>
    <t>LOCAL 19</t>
  </si>
  <si>
    <t>OFICINA 4-B</t>
  </si>
  <si>
    <t>OFICINA 5-A</t>
  </si>
  <si>
    <t>OFICINA 5-C</t>
  </si>
  <si>
    <t>OFICINA 5-D</t>
  </si>
  <si>
    <t>OFICINA 6-B</t>
  </si>
  <si>
    <t>OFICINA 7-A</t>
  </si>
  <si>
    <t>OFICINA 7-D</t>
  </si>
  <si>
    <t>OFICINA 8-A</t>
  </si>
  <si>
    <t>OFICINA 8-C</t>
  </si>
  <si>
    <t>OFICINA 8-E</t>
  </si>
  <si>
    <t>ES PROPIETARIO SOLO DE PARQUEO</t>
  </si>
  <si>
    <t>oficina 10-c</t>
  </si>
  <si>
    <t>Oficina 10-D</t>
  </si>
  <si>
    <t>OFICINA 10-E</t>
  </si>
  <si>
    <t>OFICINA 10-F</t>
  </si>
  <si>
    <t>DEPTO 11-A</t>
  </si>
  <si>
    <t>DEPTO 13-A</t>
  </si>
  <si>
    <t>DEPTO 11-B</t>
  </si>
  <si>
    <t>DEPTO 11-C</t>
  </si>
  <si>
    <t>DEPTO 12- A</t>
  </si>
  <si>
    <t>DEPTO 12 -A</t>
  </si>
  <si>
    <t>DEPTO  12-B</t>
  </si>
  <si>
    <t>DEPTO  12-D</t>
  </si>
  <si>
    <t>DEPTO  12 -C</t>
  </si>
  <si>
    <t>DEPTO 13-C</t>
  </si>
  <si>
    <t>DEPTO 13-B</t>
  </si>
  <si>
    <t>DEPTO 14-A</t>
  </si>
  <si>
    <t>DEPTO 14-B</t>
  </si>
  <si>
    <t>DEPTO 14-C</t>
  </si>
  <si>
    <t>DEPTO 14-D</t>
  </si>
  <si>
    <t>104-76</t>
  </si>
  <si>
    <t>DEPTO 15-B</t>
  </si>
  <si>
    <t>DEPTO  16-A</t>
  </si>
  <si>
    <t>DEPTO 16-B</t>
  </si>
  <si>
    <t>DEPTO 16-D</t>
  </si>
  <si>
    <t>DEPTO 17- A</t>
  </si>
  <si>
    <t>DEPTO 17-B</t>
  </si>
  <si>
    <t>DEPTO 17-D</t>
  </si>
  <si>
    <t>DEPTO 26-D</t>
  </si>
  <si>
    <t>DEPTO 18-A</t>
  </si>
  <si>
    <t>DEPTO 18-B</t>
  </si>
  <si>
    <t>DEPTO 18-C</t>
  </si>
  <si>
    <t>DEPTO 19-B</t>
  </si>
  <si>
    <t>DEPTO 20-A</t>
  </si>
  <si>
    <t>DEPTO 20-B</t>
  </si>
  <si>
    <t>DEPTO 20-C</t>
  </si>
  <si>
    <t>DEPTO 28-A</t>
  </si>
  <si>
    <t>DEPTO 21-A</t>
  </si>
  <si>
    <t>DEPTO 21-B</t>
  </si>
  <si>
    <t>DEPTO 21-D</t>
  </si>
  <si>
    <t>DEPTO 22-A</t>
  </si>
  <si>
    <t>DEPTO 22-B</t>
  </si>
  <si>
    <t>DEPTO 23-A</t>
  </si>
  <si>
    <t>DEPTO 23-B</t>
  </si>
  <si>
    <t>DEPTO 23-D</t>
  </si>
  <si>
    <t>DEPTO 24-A</t>
  </si>
  <si>
    <t>DEPTO 24-B</t>
  </si>
  <si>
    <t>DEPTO 25-A</t>
  </si>
  <si>
    <t>DEPTO 25-D</t>
  </si>
  <si>
    <t>DEPTO 26-B</t>
  </si>
  <si>
    <t>DEPTO 26-C</t>
  </si>
  <si>
    <t>DEPTO 27-A</t>
  </si>
  <si>
    <t>DEPTO 27-B</t>
  </si>
  <si>
    <t>DEPTO 27-C</t>
  </si>
  <si>
    <t>DEPTO  28-A</t>
  </si>
  <si>
    <t>DEPTO 28-B</t>
  </si>
  <si>
    <t>LOCAL 1</t>
  </si>
  <si>
    <t>OFICINA 7-B</t>
  </si>
  <si>
    <t>DEPTO 15-A</t>
  </si>
  <si>
    <t xml:space="preserve">LOCAL </t>
  </si>
  <si>
    <t>LOCAL</t>
  </si>
  <si>
    <t>OFICINA</t>
  </si>
  <si>
    <t>DEPTO</t>
  </si>
  <si>
    <t>OFICINA 5-G</t>
  </si>
  <si>
    <t>OFICINA 6-C</t>
  </si>
  <si>
    <t>OFICINA 7-C</t>
  </si>
  <si>
    <t>DEPTO 25-B</t>
  </si>
  <si>
    <t xml:space="preserve">CARLOS RAMIRO TUBAX OTERO </t>
  </si>
  <si>
    <t>JUSTINA AYDE VALENZUELA</t>
  </si>
  <si>
    <t>JOSEPH CASTRO BALDERRAMA</t>
  </si>
  <si>
    <t xml:space="preserve">parqueo </t>
  </si>
  <si>
    <t>Planta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</si>
</sst>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1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0" fontId="0" fillId="3" borderId="1" xfId="0" applyFill="1" applyBorder="1"/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2" fontId="2" fillId="0" borderId="0" xfId="0" applyNumberFormat="1" applyFont="1"/>
    <xf numFmtId="0" fontId="2" fillId="0" borderId="0" xfId="0" applyFont="1"/>
    <xf numFmtId="2" fontId="2" fillId="2" borderId="1" xfId="0" applyNumberFormat="1" applyFont="1" applyFill="1" applyBorder="1" applyAlignment="1">
      <alignment vertical="center"/>
    </xf>
    <xf numFmtId="0" fontId="0" fillId="2" borderId="0" xfId="0" applyFill="1"/>
    <xf numFmtId="0" fontId="5" fillId="2" borderId="1" xfId="0" applyFont="1" applyFill="1" applyBorder="1"/>
    <xf numFmtId="2" fontId="0" fillId="2" borderId="0" xfId="0" applyNumberFormat="1" applyFill="1"/>
    <xf numFmtId="2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0" borderId="1" xfId="0" applyFont="1" applyBorder="1"/>
    <xf numFmtId="2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0" borderId="1" xfId="0" applyFont="1" applyBorder="1"/>
    <xf numFmtId="2" fontId="7" fillId="0" borderId="0" xfId="0" applyNumberFormat="1" applyFont="1"/>
    <xf numFmtId="14" fontId="0" fillId="0" borderId="0" xfId="0" applyNumberFormat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2" fontId="0" fillId="5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28"/>
  <sheetViews>
    <sheetView tabSelected="1" topLeftCell="A295" zoomScale="70" zoomScaleNormal="70" workbookViewId="0">
      <selection activeCell="E308" sqref="E308"/>
    </sheetView>
  </sheetViews>
  <sheetFormatPr baseColWidth="10" defaultRowHeight="15" x14ac:dyDescent="0.25"/>
  <cols>
    <col min="3" max="3" width="21.42578125" customWidth="1"/>
    <col min="5" max="5" width="27" customWidth="1"/>
    <col min="6" max="6" width="13.7109375" customWidth="1"/>
    <col min="9" max="9" width="12.5703125" bestFit="1" customWidth="1"/>
    <col min="10" max="10" width="66.7109375" customWidth="1"/>
    <col min="11" max="11" width="65.140625" bestFit="1" customWidth="1"/>
  </cols>
  <sheetData>
    <row r="5" spans="2:12" ht="18.75" x14ac:dyDescent="0.25">
      <c r="C5" s="64" t="s">
        <v>0</v>
      </c>
      <c r="D5" s="64"/>
      <c r="E5" s="64"/>
      <c r="F5" s="64"/>
      <c r="G5" s="64"/>
      <c r="H5" s="64"/>
      <c r="I5" s="64"/>
    </row>
    <row r="6" spans="2:12" ht="18.75" x14ac:dyDescent="0.25">
      <c r="C6" s="64" t="s">
        <v>1</v>
      </c>
      <c r="D6" s="64"/>
      <c r="E6" s="64"/>
      <c r="F6" s="64"/>
      <c r="G6" s="64"/>
      <c r="H6" s="64"/>
      <c r="I6" s="64"/>
    </row>
    <row r="7" spans="2:12" ht="18.75" x14ac:dyDescent="0.25">
      <c r="C7" s="65">
        <v>46082</v>
      </c>
      <c r="D7" s="64"/>
      <c r="E7" s="64"/>
      <c r="F7" s="64"/>
      <c r="G7" s="64"/>
      <c r="H7" s="64"/>
      <c r="I7" s="64"/>
    </row>
    <row r="8" spans="2:12" x14ac:dyDescent="0.25">
      <c r="C8" s="1"/>
      <c r="D8" s="2"/>
      <c r="E8" s="2"/>
      <c r="F8" s="2"/>
      <c r="G8" s="1"/>
      <c r="H8" s="3" t="s">
        <v>2</v>
      </c>
      <c r="I8" s="4"/>
    </row>
    <row r="9" spans="2:12" x14ac:dyDescent="0.25">
      <c r="C9" s="1"/>
      <c r="D9" s="2"/>
      <c r="E9" s="2"/>
      <c r="F9" s="2"/>
      <c r="G9" s="1"/>
      <c r="H9" s="3" t="s">
        <v>3</v>
      </c>
      <c r="I9" s="5"/>
    </row>
    <row r="10" spans="2:12" x14ac:dyDescent="0.25">
      <c r="B10" s="9"/>
      <c r="C10" s="6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6" t="s">
        <v>9</v>
      </c>
      <c r="I10" s="8" t="s">
        <v>10</v>
      </c>
      <c r="J10" s="9" t="s">
        <v>11</v>
      </c>
      <c r="K10" s="9"/>
    </row>
    <row r="11" spans="2:12" ht="18.75" x14ac:dyDescent="0.3">
      <c r="B11" s="18">
        <v>1</v>
      </c>
      <c r="C11" s="19" t="s">
        <v>278</v>
      </c>
      <c r="D11" s="20" t="s">
        <v>13</v>
      </c>
      <c r="E11" s="20" t="s">
        <v>14</v>
      </c>
      <c r="F11" s="21">
        <v>100</v>
      </c>
      <c r="G11" s="19"/>
      <c r="H11" s="20">
        <v>2.4</v>
      </c>
      <c r="I11" s="21">
        <f t="shared" ref="I11:I74" si="0">F11*H11</f>
        <v>240</v>
      </c>
      <c r="J11" s="22" t="s">
        <v>15</v>
      </c>
      <c r="K11" s="9"/>
      <c r="L11" s="16">
        <f>+I11</f>
        <v>240</v>
      </c>
    </row>
    <row r="12" spans="2:12" ht="18.75" x14ac:dyDescent="0.25">
      <c r="B12" s="13">
        <f>+B11+1</f>
        <v>2</v>
      </c>
      <c r="C12" s="10" t="s">
        <v>16</v>
      </c>
      <c r="D12" s="11">
        <v>114</v>
      </c>
      <c r="E12" s="11" t="s">
        <v>14</v>
      </c>
      <c r="F12" s="12">
        <v>12.5</v>
      </c>
      <c r="G12" s="10"/>
      <c r="H12" s="20">
        <v>2.4</v>
      </c>
      <c r="I12" s="21">
        <f t="shared" si="0"/>
        <v>30</v>
      </c>
      <c r="J12" s="13" t="s">
        <v>170</v>
      </c>
      <c r="K12" s="9" t="s">
        <v>265</v>
      </c>
    </row>
    <row r="13" spans="2:12" ht="18.75" x14ac:dyDescent="0.25">
      <c r="B13" s="13">
        <f t="shared" ref="B13:B76" si="1">+B12+1</f>
        <v>3</v>
      </c>
      <c r="C13" s="10" t="s">
        <v>16</v>
      </c>
      <c r="D13" s="11">
        <v>115</v>
      </c>
      <c r="E13" s="11" t="s">
        <v>14</v>
      </c>
      <c r="F13" s="12">
        <v>12.5</v>
      </c>
      <c r="G13" s="10"/>
      <c r="H13" s="20">
        <v>2.4</v>
      </c>
      <c r="I13" s="21">
        <f t="shared" si="0"/>
        <v>30</v>
      </c>
      <c r="J13" s="13" t="s">
        <v>129</v>
      </c>
      <c r="K13" s="9" t="s">
        <v>234</v>
      </c>
    </row>
    <row r="14" spans="2:12" ht="18.75" x14ac:dyDescent="0.25">
      <c r="B14" s="13">
        <f t="shared" si="1"/>
        <v>4</v>
      </c>
      <c r="C14" s="10" t="s">
        <v>16</v>
      </c>
      <c r="D14" s="11">
        <v>116</v>
      </c>
      <c r="E14" s="11" t="s">
        <v>14</v>
      </c>
      <c r="F14" s="12">
        <v>12.5</v>
      </c>
      <c r="G14" s="10"/>
      <c r="H14" s="20">
        <v>2.4</v>
      </c>
      <c r="I14" s="21">
        <f t="shared" si="0"/>
        <v>30</v>
      </c>
      <c r="J14" s="13" t="s">
        <v>17</v>
      </c>
      <c r="K14" s="9" t="s">
        <v>246</v>
      </c>
    </row>
    <row r="15" spans="2:12" ht="18.75" x14ac:dyDescent="0.25">
      <c r="B15" s="13">
        <f t="shared" si="1"/>
        <v>5</v>
      </c>
      <c r="C15" s="10" t="s">
        <v>16</v>
      </c>
      <c r="D15" s="11">
        <v>117</v>
      </c>
      <c r="E15" s="11" t="s">
        <v>14</v>
      </c>
      <c r="F15" s="12">
        <v>12.5</v>
      </c>
      <c r="G15" s="10"/>
      <c r="H15" s="20">
        <v>2.4</v>
      </c>
      <c r="I15" s="21">
        <f t="shared" si="0"/>
        <v>30</v>
      </c>
      <c r="J15" s="13" t="s">
        <v>18</v>
      </c>
      <c r="K15" s="9" t="s">
        <v>214</v>
      </c>
    </row>
    <row r="16" spans="2:12" ht="18.75" x14ac:dyDescent="0.25">
      <c r="B16" s="13">
        <f t="shared" si="1"/>
        <v>6</v>
      </c>
      <c r="C16" s="10" t="s">
        <v>16</v>
      </c>
      <c r="D16" s="11">
        <v>113</v>
      </c>
      <c r="E16" s="11" t="s">
        <v>14</v>
      </c>
      <c r="F16" s="12">
        <v>12.5</v>
      </c>
      <c r="G16" s="10"/>
      <c r="H16" s="20">
        <v>2.4</v>
      </c>
      <c r="I16" s="21">
        <f t="shared" si="0"/>
        <v>30</v>
      </c>
      <c r="J16" s="13" t="s">
        <v>275</v>
      </c>
      <c r="K16" s="9" t="s">
        <v>222</v>
      </c>
    </row>
    <row r="17" spans="2:11" ht="18.75" x14ac:dyDescent="0.25">
      <c r="B17" s="13">
        <f t="shared" si="1"/>
        <v>7</v>
      </c>
      <c r="C17" s="10" t="s">
        <v>16</v>
      </c>
      <c r="D17" s="11">
        <v>112</v>
      </c>
      <c r="E17" s="11" t="s">
        <v>14</v>
      </c>
      <c r="F17" s="12">
        <v>12.5</v>
      </c>
      <c r="G17" s="10"/>
      <c r="H17" s="20">
        <v>2.4</v>
      </c>
      <c r="I17" s="21">
        <f t="shared" si="0"/>
        <v>30</v>
      </c>
      <c r="J17" s="13" t="s">
        <v>275</v>
      </c>
      <c r="K17" s="9" t="s">
        <v>222</v>
      </c>
    </row>
    <row r="18" spans="2:11" ht="18.75" x14ac:dyDescent="0.25">
      <c r="B18" s="13">
        <f t="shared" si="1"/>
        <v>8</v>
      </c>
      <c r="C18" s="10" t="s">
        <v>16</v>
      </c>
      <c r="D18" s="11">
        <v>111</v>
      </c>
      <c r="E18" s="11" t="s">
        <v>14</v>
      </c>
      <c r="F18" s="12">
        <v>12.5</v>
      </c>
      <c r="G18" s="10"/>
      <c r="H18" s="20">
        <v>2.4</v>
      </c>
      <c r="I18" s="21">
        <f t="shared" si="0"/>
        <v>30</v>
      </c>
      <c r="J18" s="13" t="s">
        <v>19</v>
      </c>
      <c r="K18" s="9" t="s">
        <v>249</v>
      </c>
    </row>
    <row r="19" spans="2:11" ht="18.75" x14ac:dyDescent="0.25">
      <c r="B19" s="13">
        <f t="shared" si="1"/>
        <v>9</v>
      </c>
      <c r="C19" s="10" t="s">
        <v>16</v>
      </c>
      <c r="D19" s="11">
        <v>110</v>
      </c>
      <c r="E19" s="11" t="s">
        <v>14</v>
      </c>
      <c r="F19" s="12">
        <v>12.5</v>
      </c>
      <c r="G19" s="10"/>
      <c r="H19" s="20">
        <v>2.4</v>
      </c>
      <c r="I19" s="21">
        <f t="shared" si="0"/>
        <v>30</v>
      </c>
      <c r="J19" s="13" t="s">
        <v>20</v>
      </c>
      <c r="K19" s="9" t="s">
        <v>242</v>
      </c>
    </row>
    <row r="20" spans="2:11" ht="18.75" x14ac:dyDescent="0.25">
      <c r="B20" s="13">
        <f t="shared" si="1"/>
        <v>10</v>
      </c>
      <c r="C20" s="10" t="s">
        <v>16</v>
      </c>
      <c r="D20" s="11">
        <v>109</v>
      </c>
      <c r="E20" s="11" t="s">
        <v>14</v>
      </c>
      <c r="F20" s="12">
        <v>12.5</v>
      </c>
      <c r="G20" s="10"/>
      <c r="H20" s="20">
        <v>2.4</v>
      </c>
      <c r="I20" s="21">
        <f t="shared" si="0"/>
        <v>30</v>
      </c>
      <c r="J20" s="13" t="s">
        <v>20</v>
      </c>
      <c r="K20" s="9" t="s">
        <v>242</v>
      </c>
    </row>
    <row r="21" spans="2:11" ht="18.75" x14ac:dyDescent="0.25">
      <c r="B21" s="13">
        <f t="shared" si="1"/>
        <v>11</v>
      </c>
      <c r="C21" s="10" t="s">
        <v>16</v>
      </c>
      <c r="D21" s="11">
        <v>108</v>
      </c>
      <c r="E21" s="11" t="s">
        <v>14</v>
      </c>
      <c r="F21" s="12">
        <v>12.5</v>
      </c>
      <c r="G21" s="10"/>
      <c r="H21" s="20">
        <v>2.4</v>
      </c>
      <c r="I21" s="21">
        <f t="shared" si="0"/>
        <v>30</v>
      </c>
      <c r="J21" s="13" t="s">
        <v>21</v>
      </c>
      <c r="K21" s="9" t="s">
        <v>226</v>
      </c>
    </row>
    <row r="22" spans="2:11" ht="18.75" x14ac:dyDescent="0.25">
      <c r="B22" s="13">
        <f t="shared" si="1"/>
        <v>12</v>
      </c>
      <c r="C22" s="10" t="s">
        <v>16</v>
      </c>
      <c r="D22" s="11">
        <v>107</v>
      </c>
      <c r="E22" s="11" t="s">
        <v>14</v>
      </c>
      <c r="F22" s="12">
        <v>12.5</v>
      </c>
      <c r="G22" s="10"/>
      <c r="H22" s="20">
        <v>2.4</v>
      </c>
      <c r="I22" s="21">
        <f t="shared" si="0"/>
        <v>30</v>
      </c>
      <c r="J22" s="13" t="s">
        <v>22</v>
      </c>
      <c r="K22" s="9" t="s">
        <v>238</v>
      </c>
    </row>
    <row r="23" spans="2:11" ht="18.75" x14ac:dyDescent="0.25">
      <c r="B23" s="13">
        <f t="shared" si="1"/>
        <v>13</v>
      </c>
      <c r="C23" s="10" t="s">
        <v>16</v>
      </c>
      <c r="D23" s="11">
        <v>106</v>
      </c>
      <c r="E23" s="11" t="s">
        <v>14</v>
      </c>
      <c r="F23" s="12">
        <v>12.5</v>
      </c>
      <c r="G23" s="10"/>
      <c r="H23" s="20">
        <v>2.4</v>
      </c>
      <c r="I23" s="21">
        <f t="shared" si="0"/>
        <v>30</v>
      </c>
      <c r="J23" s="13" t="s">
        <v>23</v>
      </c>
      <c r="K23" s="9" t="s">
        <v>263</v>
      </c>
    </row>
    <row r="24" spans="2:11" ht="18.75" x14ac:dyDescent="0.25">
      <c r="B24" s="13">
        <f t="shared" si="1"/>
        <v>14</v>
      </c>
      <c r="C24" s="10" t="s">
        <v>24</v>
      </c>
      <c r="D24" s="11" t="s">
        <v>228</v>
      </c>
      <c r="E24" s="11" t="s">
        <v>14</v>
      </c>
      <c r="F24" s="12">
        <v>18.309999999999999</v>
      </c>
      <c r="G24" s="10"/>
      <c r="H24" s="20">
        <v>2.4</v>
      </c>
      <c r="I24" s="21">
        <f t="shared" si="0"/>
        <v>43.943999999999996</v>
      </c>
      <c r="J24" s="13" t="s">
        <v>121</v>
      </c>
      <c r="K24" s="9" t="s">
        <v>266</v>
      </c>
    </row>
    <row r="25" spans="2:11" ht="18.75" x14ac:dyDescent="0.25">
      <c r="B25" s="13">
        <f t="shared" si="1"/>
        <v>15</v>
      </c>
      <c r="C25" s="10" t="s">
        <v>16</v>
      </c>
      <c r="D25" s="11">
        <v>103</v>
      </c>
      <c r="E25" s="11" t="s">
        <v>14</v>
      </c>
      <c r="F25" s="12">
        <v>12.5</v>
      </c>
      <c r="G25" s="10"/>
      <c r="H25" s="20">
        <v>2.4</v>
      </c>
      <c r="I25" s="21">
        <f t="shared" si="0"/>
        <v>30</v>
      </c>
      <c r="J25" s="13" t="s">
        <v>121</v>
      </c>
      <c r="K25" s="9" t="s">
        <v>266</v>
      </c>
    </row>
    <row r="26" spans="2:11" ht="18.75" x14ac:dyDescent="0.25">
      <c r="B26" s="13">
        <f t="shared" si="1"/>
        <v>16</v>
      </c>
      <c r="C26" s="10" t="s">
        <v>16</v>
      </c>
      <c r="D26" s="11">
        <v>102</v>
      </c>
      <c r="E26" s="11" t="s">
        <v>14</v>
      </c>
      <c r="F26" s="12">
        <v>12.5</v>
      </c>
      <c r="G26" s="10"/>
      <c r="H26" s="20">
        <v>2.4</v>
      </c>
      <c r="I26" s="21">
        <f t="shared" si="0"/>
        <v>30</v>
      </c>
      <c r="J26" s="13" t="s">
        <v>149</v>
      </c>
      <c r="K26" s="9" t="s">
        <v>255</v>
      </c>
    </row>
    <row r="27" spans="2:11" ht="18.75" x14ac:dyDescent="0.25">
      <c r="B27" s="13">
        <f t="shared" si="1"/>
        <v>17</v>
      </c>
      <c r="C27" s="10" t="s">
        <v>24</v>
      </c>
      <c r="D27" s="11" t="s">
        <v>25</v>
      </c>
      <c r="E27" s="11" t="s">
        <v>14</v>
      </c>
      <c r="F27" s="12">
        <v>36.44</v>
      </c>
      <c r="G27" s="10"/>
      <c r="H27" s="20">
        <v>2.4</v>
      </c>
      <c r="I27" s="21">
        <f t="shared" si="0"/>
        <v>87.455999999999989</v>
      </c>
      <c r="J27" s="13" t="s">
        <v>149</v>
      </c>
      <c r="K27" s="9" t="s">
        <v>255</v>
      </c>
    </row>
    <row r="28" spans="2:11" ht="18.75" x14ac:dyDescent="0.25">
      <c r="B28" s="13">
        <f t="shared" si="1"/>
        <v>18</v>
      </c>
      <c r="C28" s="10" t="s">
        <v>16</v>
      </c>
      <c r="D28" s="11">
        <v>100</v>
      </c>
      <c r="E28" s="11" t="s">
        <v>14</v>
      </c>
      <c r="F28" s="12">
        <v>12.5</v>
      </c>
      <c r="G28" s="10"/>
      <c r="H28" s="20">
        <v>2.4</v>
      </c>
      <c r="I28" s="21">
        <f t="shared" si="0"/>
        <v>30</v>
      </c>
      <c r="J28" s="13" t="s">
        <v>26</v>
      </c>
      <c r="K28" s="9" t="s">
        <v>230</v>
      </c>
    </row>
    <row r="29" spans="2:11" ht="18.75" x14ac:dyDescent="0.25">
      <c r="B29" s="13">
        <f t="shared" si="1"/>
        <v>19</v>
      </c>
      <c r="C29" s="10" t="s">
        <v>24</v>
      </c>
      <c r="D29" s="11" t="s">
        <v>27</v>
      </c>
      <c r="E29" s="11" t="s">
        <v>14</v>
      </c>
      <c r="F29" s="12">
        <v>19.66</v>
      </c>
      <c r="G29" s="10"/>
      <c r="H29" s="20">
        <v>2.4</v>
      </c>
      <c r="I29" s="21">
        <f t="shared" si="0"/>
        <v>47.183999999999997</v>
      </c>
      <c r="J29" s="13" t="s">
        <v>28</v>
      </c>
      <c r="K29" s="9" t="s">
        <v>221</v>
      </c>
    </row>
    <row r="30" spans="2:11" ht="18.75" x14ac:dyDescent="0.25">
      <c r="B30" s="13">
        <f t="shared" si="1"/>
        <v>20</v>
      </c>
      <c r="C30" s="10" t="s">
        <v>24</v>
      </c>
      <c r="D30" s="11" t="s">
        <v>29</v>
      </c>
      <c r="E30" s="11" t="s">
        <v>14</v>
      </c>
      <c r="F30" s="12">
        <v>19.34</v>
      </c>
      <c r="G30" s="10"/>
      <c r="H30" s="20">
        <v>2.4</v>
      </c>
      <c r="I30" s="21">
        <f t="shared" si="0"/>
        <v>46.415999999999997</v>
      </c>
      <c r="J30" s="13" t="s">
        <v>30</v>
      </c>
      <c r="K30" s="9" t="s">
        <v>243</v>
      </c>
    </row>
    <row r="31" spans="2:11" ht="18.75" x14ac:dyDescent="0.25">
      <c r="B31" s="13">
        <f t="shared" si="1"/>
        <v>21</v>
      </c>
      <c r="C31" s="10" t="s">
        <v>24</v>
      </c>
      <c r="D31" s="11" t="s">
        <v>31</v>
      </c>
      <c r="E31" s="11" t="s">
        <v>14</v>
      </c>
      <c r="F31" s="12">
        <v>32.01</v>
      </c>
      <c r="G31" s="10"/>
      <c r="H31" s="20">
        <v>2.4</v>
      </c>
      <c r="I31" s="21">
        <f t="shared" si="0"/>
        <v>76.823999999999998</v>
      </c>
      <c r="J31" s="13" t="s">
        <v>32</v>
      </c>
      <c r="K31" s="9" t="s">
        <v>259</v>
      </c>
    </row>
    <row r="32" spans="2:11" ht="18.75" x14ac:dyDescent="0.25">
      <c r="B32" s="13">
        <f t="shared" si="1"/>
        <v>22</v>
      </c>
      <c r="C32" s="10" t="s">
        <v>16</v>
      </c>
      <c r="D32" s="11">
        <v>96</v>
      </c>
      <c r="E32" s="11" t="s">
        <v>14</v>
      </c>
      <c r="F32" s="12">
        <v>12.5</v>
      </c>
      <c r="G32" s="10"/>
      <c r="H32" s="20">
        <v>2.4</v>
      </c>
      <c r="I32" s="21">
        <f t="shared" si="0"/>
        <v>30</v>
      </c>
      <c r="J32" s="13" t="s">
        <v>32</v>
      </c>
      <c r="K32" s="9" t="s">
        <v>259</v>
      </c>
    </row>
    <row r="33" spans="2:14" ht="18.75" x14ac:dyDescent="0.25">
      <c r="B33" s="13">
        <f t="shared" si="1"/>
        <v>23</v>
      </c>
      <c r="C33" s="10" t="s">
        <v>16</v>
      </c>
      <c r="D33" s="11">
        <v>95</v>
      </c>
      <c r="E33" s="11" t="s">
        <v>14</v>
      </c>
      <c r="F33" s="12">
        <v>12.5</v>
      </c>
      <c r="G33" s="10"/>
      <c r="H33" s="20">
        <v>2.4</v>
      </c>
      <c r="I33" s="21">
        <f t="shared" si="0"/>
        <v>30</v>
      </c>
      <c r="J33" s="13" t="s">
        <v>33</v>
      </c>
      <c r="K33" s="9" t="s">
        <v>231</v>
      </c>
    </row>
    <row r="34" spans="2:14" ht="18.75" x14ac:dyDescent="0.25">
      <c r="B34" s="13">
        <f t="shared" si="1"/>
        <v>24</v>
      </c>
      <c r="C34" s="10" t="s">
        <v>16</v>
      </c>
      <c r="D34" s="11">
        <v>94</v>
      </c>
      <c r="E34" s="11" t="s">
        <v>14</v>
      </c>
      <c r="F34" s="12">
        <v>12.5</v>
      </c>
      <c r="G34" s="10"/>
      <c r="H34" s="20">
        <v>2.4</v>
      </c>
      <c r="I34" s="21">
        <f t="shared" si="0"/>
        <v>30</v>
      </c>
      <c r="J34" s="13" t="s">
        <v>33</v>
      </c>
      <c r="K34" s="9" t="s">
        <v>231</v>
      </c>
    </row>
    <row r="35" spans="2:14" ht="18.75" x14ac:dyDescent="0.25">
      <c r="B35" s="13">
        <f t="shared" si="1"/>
        <v>25</v>
      </c>
      <c r="C35" s="10" t="s">
        <v>34</v>
      </c>
      <c r="D35" s="11">
        <v>93</v>
      </c>
      <c r="E35" s="11" t="s">
        <v>14</v>
      </c>
      <c r="F35" s="12">
        <v>4.5</v>
      </c>
      <c r="G35" s="10"/>
      <c r="H35" s="20">
        <v>2.4</v>
      </c>
      <c r="I35" s="21">
        <f t="shared" si="0"/>
        <v>10.799999999999999</v>
      </c>
      <c r="J35" s="13" t="s">
        <v>275</v>
      </c>
      <c r="K35" s="9" t="s">
        <v>222</v>
      </c>
    </row>
    <row r="36" spans="2:14" ht="18.75" x14ac:dyDescent="0.3">
      <c r="B36" s="13">
        <f t="shared" si="1"/>
        <v>26</v>
      </c>
      <c r="C36" s="19" t="s">
        <v>34</v>
      </c>
      <c r="D36" s="20">
        <v>92</v>
      </c>
      <c r="E36" s="20" t="s">
        <v>14</v>
      </c>
      <c r="F36" s="21">
        <v>5.53</v>
      </c>
      <c r="G36" s="19"/>
      <c r="H36" s="20">
        <v>2.4</v>
      </c>
      <c r="I36" s="21">
        <f t="shared" si="0"/>
        <v>13.272</v>
      </c>
      <c r="J36" s="22" t="s">
        <v>15</v>
      </c>
      <c r="K36" s="22" t="s">
        <v>15</v>
      </c>
      <c r="L36" s="23">
        <f>+I36</f>
        <v>13.272</v>
      </c>
      <c r="M36" s="24"/>
      <c r="N36" s="24"/>
    </row>
    <row r="37" spans="2:14" ht="18.75" x14ac:dyDescent="0.25">
      <c r="B37" s="13">
        <f t="shared" si="1"/>
        <v>27</v>
      </c>
      <c r="C37" s="10" t="s">
        <v>34</v>
      </c>
      <c r="D37" s="11">
        <v>91</v>
      </c>
      <c r="E37" s="11" t="s">
        <v>14</v>
      </c>
      <c r="F37" s="12">
        <v>5.76</v>
      </c>
      <c r="G37" s="10"/>
      <c r="H37" s="20">
        <v>2.4</v>
      </c>
      <c r="I37" s="21">
        <f t="shared" si="0"/>
        <v>13.824</v>
      </c>
      <c r="J37" s="13" t="s">
        <v>17</v>
      </c>
      <c r="K37" s="13" t="s">
        <v>246</v>
      </c>
      <c r="L37" s="26"/>
      <c r="M37" s="26"/>
      <c r="N37" s="26"/>
    </row>
    <row r="38" spans="2:14" ht="18.75" x14ac:dyDescent="0.3">
      <c r="B38" s="13">
        <f t="shared" si="1"/>
        <v>28</v>
      </c>
      <c r="C38" s="19" t="s">
        <v>34</v>
      </c>
      <c r="D38" s="20">
        <v>90</v>
      </c>
      <c r="E38" s="20" t="s">
        <v>14</v>
      </c>
      <c r="F38" s="21">
        <v>5.76</v>
      </c>
      <c r="G38" s="19"/>
      <c r="H38" s="20">
        <v>2.4</v>
      </c>
      <c r="I38" s="21">
        <f t="shared" si="0"/>
        <v>13.824</v>
      </c>
      <c r="J38" s="22" t="s">
        <v>15</v>
      </c>
      <c r="K38" s="22" t="s">
        <v>15</v>
      </c>
      <c r="L38" s="23">
        <f t="shared" ref="L38:L40" si="2">+I38</f>
        <v>13.824</v>
      </c>
      <c r="M38" s="24"/>
      <c r="N38" s="24"/>
    </row>
    <row r="39" spans="2:14" ht="18.75" x14ac:dyDescent="0.3">
      <c r="B39" s="13">
        <f t="shared" si="1"/>
        <v>29</v>
      </c>
      <c r="C39" s="19" t="s">
        <v>34</v>
      </c>
      <c r="D39" s="20">
        <v>89</v>
      </c>
      <c r="E39" s="20" t="s">
        <v>14</v>
      </c>
      <c r="F39" s="21">
        <v>5.53</v>
      </c>
      <c r="G39" s="19"/>
      <c r="H39" s="20">
        <v>2.4</v>
      </c>
      <c r="I39" s="21">
        <f t="shared" si="0"/>
        <v>13.272</v>
      </c>
      <c r="J39" s="22" t="s">
        <v>15</v>
      </c>
      <c r="K39" s="22" t="s">
        <v>15</v>
      </c>
      <c r="L39" s="23">
        <f t="shared" si="2"/>
        <v>13.272</v>
      </c>
      <c r="M39" s="24"/>
      <c r="N39" s="24"/>
    </row>
    <row r="40" spans="2:14" ht="18.75" x14ac:dyDescent="0.3">
      <c r="B40" s="13">
        <f t="shared" si="1"/>
        <v>30</v>
      </c>
      <c r="C40" s="19" t="s">
        <v>34</v>
      </c>
      <c r="D40" s="20">
        <v>88</v>
      </c>
      <c r="E40" s="20" t="s">
        <v>14</v>
      </c>
      <c r="F40" s="21">
        <v>5.53</v>
      </c>
      <c r="G40" s="19"/>
      <c r="H40" s="20">
        <v>2.4</v>
      </c>
      <c r="I40" s="21">
        <f t="shared" si="0"/>
        <v>13.272</v>
      </c>
      <c r="J40" s="22" t="s">
        <v>15</v>
      </c>
      <c r="K40" s="22" t="s">
        <v>15</v>
      </c>
      <c r="L40" s="23">
        <f t="shared" si="2"/>
        <v>13.272</v>
      </c>
      <c r="M40" s="24"/>
      <c r="N40" s="24"/>
    </row>
    <row r="41" spans="2:14" ht="18.75" x14ac:dyDescent="0.25">
      <c r="B41" s="13">
        <f t="shared" si="1"/>
        <v>31</v>
      </c>
      <c r="C41" s="10" t="s">
        <v>34</v>
      </c>
      <c r="D41" s="11">
        <v>87</v>
      </c>
      <c r="E41" s="11" t="s">
        <v>14</v>
      </c>
      <c r="F41" s="12">
        <v>5.53</v>
      </c>
      <c r="G41" s="10"/>
      <c r="H41" s="20">
        <v>2.4</v>
      </c>
      <c r="I41" s="21">
        <f t="shared" si="0"/>
        <v>13.272</v>
      </c>
      <c r="J41" s="13" t="s">
        <v>20</v>
      </c>
      <c r="K41" s="13" t="s">
        <v>242</v>
      </c>
      <c r="L41" s="26"/>
      <c r="M41" s="26"/>
      <c r="N41" s="26"/>
    </row>
    <row r="42" spans="2:14" ht="18.75" x14ac:dyDescent="0.25">
      <c r="B42" s="13">
        <f t="shared" si="1"/>
        <v>32</v>
      </c>
      <c r="C42" s="10" t="s">
        <v>34</v>
      </c>
      <c r="D42" s="11">
        <v>86</v>
      </c>
      <c r="E42" s="11" t="s">
        <v>14</v>
      </c>
      <c r="F42" s="12">
        <v>5.76</v>
      </c>
      <c r="G42" s="10"/>
      <c r="H42" s="20">
        <v>2.4</v>
      </c>
      <c r="I42" s="21">
        <f t="shared" si="0"/>
        <v>13.824</v>
      </c>
      <c r="J42" s="13" t="s">
        <v>22</v>
      </c>
      <c r="K42" s="13" t="s">
        <v>238</v>
      </c>
      <c r="L42" s="26"/>
      <c r="M42" s="26"/>
      <c r="N42" s="26"/>
    </row>
    <row r="43" spans="2:14" ht="18.75" x14ac:dyDescent="0.25">
      <c r="B43" s="13">
        <f t="shared" si="1"/>
        <v>33</v>
      </c>
      <c r="C43" s="10" t="s">
        <v>34</v>
      </c>
      <c r="D43" s="11">
        <v>85</v>
      </c>
      <c r="E43" s="11" t="s">
        <v>14</v>
      </c>
      <c r="F43" s="12">
        <v>5.99</v>
      </c>
      <c r="G43" s="10"/>
      <c r="H43" s="20">
        <v>2.4</v>
      </c>
      <c r="I43" s="21">
        <f t="shared" si="0"/>
        <v>14.375999999999999</v>
      </c>
      <c r="J43" s="13" t="s">
        <v>21</v>
      </c>
      <c r="K43" s="13" t="s">
        <v>226</v>
      </c>
      <c r="L43" s="26"/>
      <c r="M43" s="26"/>
      <c r="N43" s="26"/>
    </row>
    <row r="44" spans="2:14" ht="18.75" x14ac:dyDescent="0.25">
      <c r="B44" s="13">
        <f t="shared" si="1"/>
        <v>34</v>
      </c>
      <c r="C44" s="10" t="s">
        <v>34</v>
      </c>
      <c r="D44" s="11">
        <v>84</v>
      </c>
      <c r="E44" s="11" t="s">
        <v>14</v>
      </c>
      <c r="F44" s="12">
        <v>6.14</v>
      </c>
      <c r="G44" s="10"/>
      <c r="H44" s="20">
        <v>2.4</v>
      </c>
      <c r="I44" s="21">
        <f t="shared" si="0"/>
        <v>14.735999999999999</v>
      </c>
      <c r="J44" s="13" t="s">
        <v>32</v>
      </c>
      <c r="K44" s="13" t="s">
        <v>259</v>
      </c>
      <c r="L44" s="26"/>
      <c r="M44" s="26"/>
      <c r="N44" s="26"/>
    </row>
    <row r="45" spans="2:14" ht="18.75" x14ac:dyDescent="0.25">
      <c r="B45" s="13">
        <f t="shared" si="1"/>
        <v>35</v>
      </c>
      <c r="C45" s="10" t="s">
        <v>34</v>
      </c>
      <c r="D45" s="11">
        <v>83</v>
      </c>
      <c r="E45" s="11" t="s">
        <v>14</v>
      </c>
      <c r="F45" s="12">
        <v>5.53</v>
      </c>
      <c r="G45" s="10"/>
      <c r="H45" s="20">
        <v>2.4</v>
      </c>
      <c r="I45" s="21">
        <f t="shared" si="0"/>
        <v>13.272</v>
      </c>
      <c r="J45" s="27" t="s">
        <v>35</v>
      </c>
      <c r="K45" s="13" t="s">
        <v>217</v>
      </c>
      <c r="L45" s="28">
        <f t="shared" ref="L45:L67" si="3">+I45</f>
        <v>13.272</v>
      </c>
      <c r="M45" s="26"/>
      <c r="N45" s="26"/>
    </row>
    <row r="46" spans="2:14" ht="18.75" x14ac:dyDescent="0.3">
      <c r="B46" s="13">
        <f t="shared" si="1"/>
        <v>36</v>
      </c>
      <c r="C46" s="19" t="s">
        <v>34</v>
      </c>
      <c r="D46" s="20">
        <v>82</v>
      </c>
      <c r="E46" s="20" t="s">
        <v>14</v>
      </c>
      <c r="F46" s="21">
        <v>5.53</v>
      </c>
      <c r="G46" s="19"/>
      <c r="H46" s="20">
        <v>2.4</v>
      </c>
      <c r="I46" s="21">
        <f t="shared" si="0"/>
        <v>13.272</v>
      </c>
      <c r="J46" s="22" t="s">
        <v>15</v>
      </c>
      <c r="K46" s="22" t="s">
        <v>15</v>
      </c>
      <c r="L46" s="23">
        <f t="shared" si="3"/>
        <v>13.272</v>
      </c>
      <c r="M46" s="24"/>
      <c r="N46" s="24"/>
    </row>
    <row r="47" spans="2:14" ht="18.75" x14ac:dyDescent="0.3">
      <c r="B47" s="13">
        <f t="shared" si="1"/>
        <v>37</v>
      </c>
      <c r="C47" s="19" t="s">
        <v>34</v>
      </c>
      <c r="D47" s="20">
        <v>81</v>
      </c>
      <c r="E47" s="20" t="s">
        <v>14</v>
      </c>
      <c r="F47" s="21">
        <v>5.53</v>
      </c>
      <c r="G47" s="19"/>
      <c r="H47" s="20">
        <v>2.4</v>
      </c>
      <c r="I47" s="21">
        <f t="shared" si="0"/>
        <v>13.272</v>
      </c>
      <c r="J47" s="22" t="s">
        <v>15</v>
      </c>
      <c r="K47" s="22" t="s">
        <v>15</v>
      </c>
      <c r="L47" s="23">
        <f t="shared" si="3"/>
        <v>13.272</v>
      </c>
      <c r="M47" s="24"/>
      <c r="N47" s="24"/>
    </row>
    <row r="48" spans="2:14" ht="18.75" x14ac:dyDescent="0.25">
      <c r="B48" s="13">
        <f t="shared" si="1"/>
        <v>38</v>
      </c>
      <c r="C48" s="10" t="s">
        <v>34</v>
      </c>
      <c r="D48" s="11">
        <v>80</v>
      </c>
      <c r="E48" s="11" t="s">
        <v>14</v>
      </c>
      <c r="F48" s="12">
        <v>7.96</v>
      </c>
      <c r="G48" s="10"/>
      <c r="H48" s="20">
        <v>2.4</v>
      </c>
      <c r="I48" s="21">
        <f t="shared" si="0"/>
        <v>19.103999999999999</v>
      </c>
      <c r="J48" s="13" t="s">
        <v>33</v>
      </c>
      <c r="K48" s="13" t="s">
        <v>258</v>
      </c>
      <c r="L48" s="26"/>
      <c r="M48" s="26"/>
      <c r="N48" s="26"/>
    </row>
    <row r="49" spans="2:14" ht="18.75" x14ac:dyDescent="0.3">
      <c r="B49" s="13">
        <f t="shared" si="1"/>
        <v>39</v>
      </c>
      <c r="C49" s="19" t="s">
        <v>34</v>
      </c>
      <c r="D49" s="20">
        <v>79</v>
      </c>
      <c r="E49" s="20" t="s">
        <v>14</v>
      </c>
      <c r="F49" s="21">
        <v>5.0199999999999996</v>
      </c>
      <c r="G49" s="19"/>
      <c r="H49" s="20">
        <v>2.4</v>
      </c>
      <c r="I49" s="21">
        <f t="shared" si="0"/>
        <v>12.047999999999998</v>
      </c>
      <c r="J49" s="22" t="s">
        <v>15</v>
      </c>
      <c r="K49" s="22" t="s">
        <v>15</v>
      </c>
      <c r="L49" s="23">
        <f t="shared" si="3"/>
        <v>12.047999999999998</v>
      </c>
      <c r="M49" s="24"/>
      <c r="N49" s="24"/>
    </row>
    <row r="50" spans="2:14" ht="18.75" x14ac:dyDescent="0.25">
      <c r="B50" s="13">
        <f t="shared" si="1"/>
        <v>40</v>
      </c>
      <c r="C50" s="10" t="s">
        <v>34</v>
      </c>
      <c r="D50" s="11">
        <v>78</v>
      </c>
      <c r="E50" s="11" t="s">
        <v>14</v>
      </c>
      <c r="F50" s="12">
        <v>5.01</v>
      </c>
      <c r="G50" s="10"/>
      <c r="H50" s="20">
        <v>2.4</v>
      </c>
      <c r="I50" s="21">
        <f t="shared" si="0"/>
        <v>12.023999999999999</v>
      </c>
      <c r="J50" s="13" t="s">
        <v>121</v>
      </c>
      <c r="K50" s="13" t="s">
        <v>245</v>
      </c>
      <c r="L50" s="28">
        <f t="shared" si="3"/>
        <v>12.023999999999999</v>
      </c>
      <c r="M50" s="26"/>
      <c r="N50" s="26"/>
    </row>
    <row r="51" spans="2:14" ht="18.75" x14ac:dyDescent="0.25">
      <c r="B51" s="13">
        <f t="shared" si="1"/>
        <v>41</v>
      </c>
      <c r="C51" s="10" t="s">
        <v>34</v>
      </c>
      <c r="D51" s="11">
        <v>77</v>
      </c>
      <c r="E51" s="11" t="s">
        <v>14</v>
      </c>
      <c r="F51" s="12">
        <v>5.68</v>
      </c>
      <c r="G51" s="10"/>
      <c r="H51" s="20">
        <v>2.4</v>
      </c>
      <c r="I51" s="21">
        <f t="shared" si="0"/>
        <v>13.632</v>
      </c>
      <c r="J51" s="13" t="s">
        <v>36</v>
      </c>
      <c r="K51" s="13" t="s">
        <v>213</v>
      </c>
      <c r="L51" s="28"/>
      <c r="M51" s="26"/>
      <c r="N51" s="26"/>
    </row>
    <row r="52" spans="2:14" ht="18.75" x14ac:dyDescent="0.3">
      <c r="B52" s="13">
        <f t="shared" si="1"/>
        <v>42</v>
      </c>
      <c r="C52" s="19" t="s">
        <v>34</v>
      </c>
      <c r="D52" s="20">
        <v>75</v>
      </c>
      <c r="E52" s="20" t="s">
        <v>14</v>
      </c>
      <c r="F52" s="21">
        <v>4.74</v>
      </c>
      <c r="G52" s="19"/>
      <c r="H52" s="20">
        <v>2.4</v>
      </c>
      <c r="I52" s="21">
        <f t="shared" si="0"/>
        <v>11.375999999999999</v>
      </c>
      <c r="J52" s="22" t="s">
        <v>15</v>
      </c>
      <c r="K52" s="22" t="s">
        <v>15</v>
      </c>
      <c r="L52" s="23">
        <f t="shared" si="3"/>
        <v>11.375999999999999</v>
      </c>
      <c r="M52" s="24"/>
      <c r="N52" s="24"/>
    </row>
    <row r="53" spans="2:14" ht="18.75" x14ac:dyDescent="0.3">
      <c r="B53" s="13">
        <f t="shared" si="1"/>
        <v>43</v>
      </c>
      <c r="C53" s="37" t="s">
        <v>34</v>
      </c>
      <c r="D53" s="38">
        <v>74</v>
      </c>
      <c r="E53" s="38" t="s">
        <v>14</v>
      </c>
      <c r="F53" s="29">
        <v>4.32</v>
      </c>
      <c r="G53" s="37"/>
      <c r="H53" s="20">
        <v>2.4</v>
      </c>
      <c r="I53" s="21">
        <f t="shared" si="0"/>
        <v>10.368</v>
      </c>
      <c r="J53" s="30" t="s">
        <v>121</v>
      </c>
      <c r="K53" s="31" t="s">
        <v>241</v>
      </c>
      <c r="L53" s="23">
        <f t="shared" si="3"/>
        <v>10.368</v>
      </c>
      <c r="M53" s="24"/>
      <c r="N53" s="24"/>
    </row>
    <row r="54" spans="2:14" ht="18.75" x14ac:dyDescent="0.3">
      <c r="B54" s="13">
        <f t="shared" si="1"/>
        <v>44</v>
      </c>
      <c r="C54" s="19" t="s">
        <v>34</v>
      </c>
      <c r="D54" s="20">
        <v>73</v>
      </c>
      <c r="E54" s="20" t="s">
        <v>14</v>
      </c>
      <c r="F54" s="21">
        <v>4.32</v>
      </c>
      <c r="G54" s="19"/>
      <c r="H54" s="20">
        <v>2.4</v>
      </c>
      <c r="I54" s="21">
        <f t="shared" si="0"/>
        <v>10.368</v>
      </c>
      <c r="J54" s="22" t="s">
        <v>15</v>
      </c>
      <c r="K54" s="22" t="s">
        <v>15</v>
      </c>
      <c r="L54" s="23">
        <f t="shared" si="3"/>
        <v>10.368</v>
      </c>
      <c r="M54" s="24"/>
      <c r="N54" s="24"/>
    </row>
    <row r="55" spans="2:14" ht="18.75" x14ac:dyDescent="0.3">
      <c r="B55" s="13">
        <f t="shared" si="1"/>
        <v>45</v>
      </c>
      <c r="C55" s="19" t="s">
        <v>34</v>
      </c>
      <c r="D55" s="20">
        <v>72</v>
      </c>
      <c r="E55" s="20" t="s">
        <v>14</v>
      </c>
      <c r="F55" s="21">
        <v>4.74</v>
      </c>
      <c r="G55" s="19"/>
      <c r="H55" s="20">
        <v>2.4</v>
      </c>
      <c r="I55" s="21">
        <f t="shared" si="0"/>
        <v>11.375999999999999</v>
      </c>
      <c r="J55" s="22" t="s">
        <v>15</v>
      </c>
      <c r="K55" s="22" t="s">
        <v>15</v>
      </c>
      <c r="L55" s="23">
        <f t="shared" si="3"/>
        <v>11.375999999999999</v>
      </c>
      <c r="M55" s="24"/>
      <c r="N55" s="24"/>
    </row>
    <row r="56" spans="2:14" ht="18.75" x14ac:dyDescent="0.25">
      <c r="B56" s="13">
        <f t="shared" si="1"/>
        <v>46</v>
      </c>
      <c r="C56" s="10" t="s">
        <v>34</v>
      </c>
      <c r="D56" s="11">
        <v>71</v>
      </c>
      <c r="E56" s="11" t="s">
        <v>14</v>
      </c>
      <c r="F56" s="12">
        <v>7.2</v>
      </c>
      <c r="G56" s="10"/>
      <c r="H56" s="20">
        <v>2.4</v>
      </c>
      <c r="I56" s="21">
        <f t="shared" si="0"/>
        <v>17.28</v>
      </c>
      <c r="J56" s="13" t="s">
        <v>129</v>
      </c>
      <c r="K56" s="13" t="s">
        <v>234</v>
      </c>
      <c r="L56" s="26"/>
      <c r="M56" s="26"/>
      <c r="N56" s="26"/>
    </row>
    <row r="57" spans="2:14" ht="18.75" x14ac:dyDescent="0.3">
      <c r="B57" s="13">
        <f t="shared" si="1"/>
        <v>47</v>
      </c>
      <c r="C57" s="19" t="s">
        <v>34</v>
      </c>
      <c r="D57" s="20">
        <v>70</v>
      </c>
      <c r="E57" s="20" t="s">
        <v>14</v>
      </c>
      <c r="F57" s="21">
        <v>4.7</v>
      </c>
      <c r="G57" s="19"/>
      <c r="H57" s="20">
        <v>2.4</v>
      </c>
      <c r="I57" s="21">
        <f t="shared" si="0"/>
        <v>11.28</v>
      </c>
      <c r="J57" s="22" t="s">
        <v>15</v>
      </c>
      <c r="K57" s="22" t="s">
        <v>15</v>
      </c>
      <c r="L57" s="23">
        <f t="shared" si="3"/>
        <v>11.28</v>
      </c>
      <c r="M57" s="24"/>
      <c r="N57" s="24"/>
    </row>
    <row r="58" spans="2:14" ht="18.75" x14ac:dyDescent="0.3">
      <c r="B58" s="13">
        <f t="shared" si="1"/>
        <v>48</v>
      </c>
      <c r="C58" s="19" t="s">
        <v>34</v>
      </c>
      <c r="D58" s="20">
        <v>69</v>
      </c>
      <c r="E58" s="20" t="s">
        <v>14</v>
      </c>
      <c r="F58" s="21">
        <v>5.34</v>
      </c>
      <c r="G58" s="19"/>
      <c r="H58" s="20">
        <v>2.4</v>
      </c>
      <c r="I58" s="21">
        <f t="shared" si="0"/>
        <v>12.815999999999999</v>
      </c>
      <c r="J58" s="22" t="s">
        <v>15</v>
      </c>
      <c r="K58" s="22" t="s">
        <v>15</v>
      </c>
      <c r="L58" s="23">
        <f t="shared" si="3"/>
        <v>12.815999999999999</v>
      </c>
      <c r="M58" s="24"/>
      <c r="N58" s="24"/>
    </row>
    <row r="59" spans="2:14" ht="18.75" x14ac:dyDescent="0.25">
      <c r="B59" s="13">
        <f t="shared" si="1"/>
        <v>49</v>
      </c>
      <c r="C59" s="10" t="s">
        <v>34</v>
      </c>
      <c r="D59" s="11">
        <v>67</v>
      </c>
      <c r="E59" s="11" t="s">
        <v>14</v>
      </c>
      <c r="F59" s="12">
        <v>9.1</v>
      </c>
      <c r="G59" s="10"/>
      <c r="H59" s="20">
        <v>2.4</v>
      </c>
      <c r="I59" s="21">
        <f t="shared" si="0"/>
        <v>21.84</v>
      </c>
      <c r="J59" s="13" t="s">
        <v>190</v>
      </c>
      <c r="K59" s="9"/>
      <c r="L59" s="16">
        <f t="shared" si="3"/>
        <v>21.84</v>
      </c>
      <c r="M59" s="36">
        <v>43957</v>
      </c>
    </row>
    <row r="60" spans="2:14" ht="18.75" x14ac:dyDescent="0.3">
      <c r="B60" s="13">
        <f t="shared" si="1"/>
        <v>50</v>
      </c>
      <c r="C60" s="19" t="s">
        <v>34</v>
      </c>
      <c r="D60" s="20">
        <v>66</v>
      </c>
      <c r="E60" s="20" t="s">
        <v>14</v>
      </c>
      <c r="F60" s="21">
        <v>4.2300000000000004</v>
      </c>
      <c r="G60" s="19"/>
      <c r="H60" s="20">
        <v>2.4</v>
      </c>
      <c r="I60" s="21">
        <f t="shared" si="0"/>
        <v>10.152000000000001</v>
      </c>
      <c r="J60" s="22" t="s">
        <v>15</v>
      </c>
      <c r="K60" s="22" t="s">
        <v>15</v>
      </c>
      <c r="L60" s="23">
        <f t="shared" si="3"/>
        <v>10.152000000000001</v>
      </c>
      <c r="M60" s="24"/>
      <c r="N60" s="24"/>
    </row>
    <row r="61" spans="2:14" ht="18.75" x14ac:dyDescent="0.3">
      <c r="B61" s="13">
        <f t="shared" si="1"/>
        <v>51</v>
      </c>
      <c r="C61" s="19" t="s">
        <v>34</v>
      </c>
      <c r="D61" s="20">
        <v>65</v>
      </c>
      <c r="E61" s="20" t="s">
        <v>14</v>
      </c>
      <c r="F61" s="21">
        <v>4.8600000000000003</v>
      </c>
      <c r="G61" s="19"/>
      <c r="H61" s="20">
        <v>2.4</v>
      </c>
      <c r="I61" s="21">
        <f t="shared" si="0"/>
        <v>11.664</v>
      </c>
      <c r="J61" s="22" t="s">
        <v>15</v>
      </c>
      <c r="K61" s="22" t="s">
        <v>15</v>
      </c>
      <c r="L61" s="23">
        <f t="shared" si="3"/>
        <v>11.664</v>
      </c>
      <c r="M61" s="24"/>
      <c r="N61" s="24"/>
    </row>
    <row r="62" spans="2:14" ht="18.75" x14ac:dyDescent="0.3">
      <c r="B62" s="13">
        <f t="shared" si="1"/>
        <v>52</v>
      </c>
      <c r="C62" s="19" t="s">
        <v>34</v>
      </c>
      <c r="D62" s="20">
        <v>64</v>
      </c>
      <c r="E62" s="20" t="s">
        <v>14</v>
      </c>
      <c r="F62" s="21">
        <v>4.7699999999999996</v>
      </c>
      <c r="G62" s="19"/>
      <c r="H62" s="20">
        <v>2.4</v>
      </c>
      <c r="I62" s="21">
        <f t="shared" si="0"/>
        <v>11.447999999999999</v>
      </c>
      <c r="J62" s="22" t="s">
        <v>15</v>
      </c>
      <c r="K62" s="22" t="s">
        <v>15</v>
      </c>
      <c r="L62" s="23">
        <f t="shared" si="3"/>
        <v>11.447999999999999</v>
      </c>
      <c r="M62" s="24"/>
      <c r="N62" s="24"/>
    </row>
    <row r="63" spans="2:14" ht="18.75" x14ac:dyDescent="0.3">
      <c r="B63" s="13">
        <f t="shared" si="1"/>
        <v>53</v>
      </c>
      <c r="C63" s="19" t="s">
        <v>34</v>
      </c>
      <c r="D63" s="20">
        <v>63</v>
      </c>
      <c r="E63" s="20" t="s">
        <v>14</v>
      </c>
      <c r="F63" s="21">
        <v>6.5</v>
      </c>
      <c r="G63" s="19"/>
      <c r="H63" s="20">
        <v>2.4</v>
      </c>
      <c r="I63" s="21">
        <f t="shared" si="0"/>
        <v>15.6</v>
      </c>
      <c r="J63" s="22" t="s">
        <v>15</v>
      </c>
      <c r="K63" s="22" t="s">
        <v>15</v>
      </c>
      <c r="L63" s="23">
        <f t="shared" si="3"/>
        <v>15.6</v>
      </c>
      <c r="M63" s="24"/>
      <c r="N63" s="24"/>
    </row>
    <row r="64" spans="2:14" ht="18.75" x14ac:dyDescent="0.25">
      <c r="B64" s="13">
        <f t="shared" si="1"/>
        <v>54</v>
      </c>
      <c r="C64" s="10" t="s">
        <v>34</v>
      </c>
      <c r="D64" s="11">
        <v>62</v>
      </c>
      <c r="E64" s="11" t="s">
        <v>14</v>
      </c>
      <c r="F64" s="12">
        <v>8.56</v>
      </c>
      <c r="G64" s="10"/>
      <c r="H64" s="20">
        <v>2.4</v>
      </c>
      <c r="I64" s="21">
        <f t="shared" si="0"/>
        <v>20.544</v>
      </c>
      <c r="J64" s="13" t="s">
        <v>37</v>
      </c>
      <c r="K64" s="13" t="s">
        <v>235</v>
      </c>
      <c r="L64" s="26"/>
      <c r="M64" s="26"/>
      <c r="N64" s="26"/>
    </row>
    <row r="65" spans="2:14" ht="18.75" x14ac:dyDescent="0.3">
      <c r="B65" s="13">
        <f t="shared" si="1"/>
        <v>55</v>
      </c>
      <c r="C65" s="19" t="s">
        <v>34</v>
      </c>
      <c r="D65" s="20">
        <v>61</v>
      </c>
      <c r="E65" s="20" t="s">
        <v>14</v>
      </c>
      <c r="F65" s="21">
        <v>5.51</v>
      </c>
      <c r="G65" s="19"/>
      <c r="H65" s="20">
        <v>2.4</v>
      </c>
      <c r="I65" s="21">
        <f t="shared" si="0"/>
        <v>13.223999999999998</v>
      </c>
      <c r="J65" s="22" t="s">
        <v>15</v>
      </c>
      <c r="K65" s="22" t="s">
        <v>15</v>
      </c>
      <c r="L65" s="23">
        <f t="shared" si="3"/>
        <v>13.223999999999998</v>
      </c>
      <c r="M65" s="24"/>
      <c r="N65" s="24"/>
    </row>
    <row r="66" spans="2:14" ht="18.75" x14ac:dyDescent="0.3">
      <c r="B66" s="13">
        <f t="shared" si="1"/>
        <v>56</v>
      </c>
      <c r="C66" s="19" t="s">
        <v>34</v>
      </c>
      <c r="D66" s="20">
        <v>60</v>
      </c>
      <c r="E66" s="20" t="s">
        <v>14</v>
      </c>
      <c r="F66" s="21">
        <v>5.5</v>
      </c>
      <c r="G66" s="19"/>
      <c r="H66" s="20">
        <v>2.4</v>
      </c>
      <c r="I66" s="21">
        <f t="shared" si="0"/>
        <v>13.2</v>
      </c>
      <c r="J66" s="22" t="s">
        <v>15</v>
      </c>
      <c r="K66" s="22" t="s">
        <v>15</v>
      </c>
      <c r="L66" s="23">
        <f t="shared" si="3"/>
        <v>13.2</v>
      </c>
      <c r="M66" s="24"/>
      <c r="N66" s="24"/>
    </row>
    <row r="67" spans="2:14" ht="18.75" x14ac:dyDescent="0.3">
      <c r="B67" s="13">
        <f t="shared" si="1"/>
        <v>57</v>
      </c>
      <c r="C67" s="19" t="s">
        <v>34</v>
      </c>
      <c r="D67" s="20">
        <v>59</v>
      </c>
      <c r="E67" s="20" t="s">
        <v>14</v>
      </c>
      <c r="F67" s="21">
        <v>5.49</v>
      </c>
      <c r="G67" s="19"/>
      <c r="H67" s="20">
        <v>2.4</v>
      </c>
      <c r="I67" s="21">
        <f t="shared" si="0"/>
        <v>13.176</v>
      </c>
      <c r="J67" s="22" t="s">
        <v>15</v>
      </c>
      <c r="K67" s="22" t="s">
        <v>15</v>
      </c>
      <c r="L67" s="23">
        <f t="shared" si="3"/>
        <v>13.176</v>
      </c>
      <c r="M67" s="24"/>
      <c r="N67" s="24"/>
    </row>
    <row r="68" spans="2:14" ht="18.75" x14ac:dyDescent="0.25">
      <c r="B68" s="13">
        <f t="shared" si="1"/>
        <v>58</v>
      </c>
      <c r="C68" s="10" t="s">
        <v>34</v>
      </c>
      <c r="D68" s="11">
        <v>58</v>
      </c>
      <c r="E68" s="11" t="s">
        <v>14</v>
      </c>
      <c r="F68" s="12">
        <v>5.84</v>
      </c>
      <c r="G68" s="10"/>
      <c r="H68" s="20">
        <v>2.4</v>
      </c>
      <c r="I68" s="21">
        <f t="shared" si="0"/>
        <v>14.016</v>
      </c>
      <c r="J68" s="13" t="s">
        <v>18</v>
      </c>
      <c r="K68" s="13" t="s">
        <v>214</v>
      </c>
      <c r="L68" s="26"/>
      <c r="M68" s="26"/>
      <c r="N68" s="26"/>
    </row>
    <row r="69" spans="2:14" ht="18.75" x14ac:dyDescent="0.25">
      <c r="B69" s="13">
        <f t="shared" si="1"/>
        <v>59</v>
      </c>
      <c r="C69" s="10" t="s">
        <v>16</v>
      </c>
      <c r="D69" s="11">
        <v>93</v>
      </c>
      <c r="E69" s="11" t="s">
        <v>38</v>
      </c>
      <c r="F69" s="12">
        <v>12.5</v>
      </c>
      <c r="G69" s="10"/>
      <c r="H69" s="20">
        <v>2.4</v>
      </c>
      <c r="I69" s="21">
        <f t="shared" si="0"/>
        <v>30</v>
      </c>
      <c r="J69" s="13" t="s">
        <v>129</v>
      </c>
      <c r="K69" s="13" t="s">
        <v>215</v>
      </c>
      <c r="L69" s="26"/>
      <c r="M69" s="26"/>
      <c r="N69" s="26"/>
    </row>
    <row r="70" spans="2:14" ht="18.75" x14ac:dyDescent="0.25">
      <c r="B70" s="13">
        <f t="shared" si="1"/>
        <v>60</v>
      </c>
      <c r="C70" s="10" t="s">
        <v>16</v>
      </c>
      <c r="D70" s="11">
        <v>92</v>
      </c>
      <c r="E70" s="11" t="s">
        <v>38</v>
      </c>
      <c r="F70" s="12">
        <v>12.5</v>
      </c>
      <c r="G70" s="10"/>
      <c r="H70" s="20">
        <v>2.4</v>
      </c>
      <c r="I70" s="21">
        <f t="shared" si="0"/>
        <v>30</v>
      </c>
      <c r="J70" s="13" t="s">
        <v>101</v>
      </c>
      <c r="K70" s="13" t="s">
        <v>211</v>
      </c>
      <c r="L70" s="26"/>
      <c r="M70" s="26"/>
      <c r="N70" s="26"/>
    </row>
    <row r="71" spans="2:14" ht="18.75" x14ac:dyDescent="0.25">
      <c r="B71" s="13">
        <f t="shared" si="1"/>
        <v>61</v>
      </c>
      <c r="C71" s="10" t="s">
        <v>16</v>
      </c>
      <c r="D71" s="11">
        <v>91</v>
      </c>
      <c r="E71" s="11" t="s">
        <v>38</v>
      </c>
      <c r="F71" s="12">
        <v>12.5</v>
      </c>
      <c r="G71" s="10"/>
      <c r="H71" s="20">
        <v>2.4</v>
      </c>
      <c r="I71" s="21">
        <f t="shared" si="0"/>
        <v>30</v>
      </c>
      <c r="J71" s="13" t="s">
        <v>106</v>
      </c>
      <c r="K71" s="13" t="s">
        <v>207</v>
      </c>
      <c r="L71" s="26"/>
      <c r="M71" s="26"/>
      <c r="N71" s="26"/>
    </row>
    <row r="72" spans="2:14" ht="18.75" x14ac:dyDescent="0.25">
      <c r="B72" s="13">
        <f t="shared" si="1"/>
        <v>62</v>
      </c>
      <c r="C72" s="10" t="s">
        <v>16</v>
      </c>
      <c r="D72" s="11">
        <v>90</v>
      </c>
      <c r="E72" s="11" t="s">
        <v>38</v>
      </c>
      <c r="F72" s="12">
        <v>12.5</v>
      </c>
      <c r="G72" s="10"/>
      <c r="H72" s="20">
        <v>2.4</v>
      </c>
      <c r="I72" s="21">
        <f t="shared" si="0"/>
        <v>30</v>
      </c>
      <c r="J72" s="13" t="s">
        <v>101</v>
      </c>
      <c r="K72" s="13" t="s">
        <v>211</v>
      </c>
      <c r="L72" s="26"/>
      <c r="M72" s="26"/>
      <c r="N72" s="26"/>
    </row>
    <row r="73" spans="2:14" ht="18.75" x14ac:dyDescent="0.25">
      <c r="B73" s="13">
        <f t="shared" si="1"/>
        <v>63</v>
      </c>
      <c r="C73" s="10" t="s">
        <v>16</v>
      </c>
      <c r="D73" s="11">
        <v>89</v>
      </c>
      <c r="E73" s="11" t="s">
        <v>38</v>
      </c>
      <c r="F73" s="12">
        <v>12.5</v>
      </c>
      <c r="G73" s="10"/>
      <c r="H73" s="20">
        <v>2.4</v>
      </c>
      <c r="I73" s="21">
        <f t="shared" si="0"/>
        <v>30</v>
      </c>
      <c r="J73" s="13" t="s">
        <v>276</v>
      </c>
      <c r="K73" s="13" t="s">
        <v>240</v>
      </c>
      <c r="L73" s="26"/>
      <c r="M73" s="26"/>
      <c r="N73" s="26"/>
    </row>
    <row r="74" spans="2:14" ht="18.75" x14ac:dyDescent="0.25">
      <c r="B74" s="13">
        <f t="shared" si="1"/>
        <v>64</v>
      </c>
      <c r="C74" s="10" t="s">
        <v>16</v>
      </c>
      <c r="D74" s="11">
        <v>88</v>
      </c>
      <c r="E74" s="11" t="s">
        <v>38</v>
      </c>
      <c r="F74" s="12">
        <v>12.5</v>
      </c>
      <c r="G74" s="10"/>
      <c r="H74" s="20">
        <v>2.4</v>
      </c>
      <c r="I74" s="21">
        <f t="shared" si="0"/>
        <v>30</v>
      </c>
      <c r="J74" s="13" t="s">
        <v>179</v>
      </c>
      <c r="K74" s="13" t="s">
        <v>216</v>
      </c>
      <c r="L74" s="26"/>
      <c r="M74" s="26"/>
      <c r="N74" s="26"/>
    </row>
    <row r="75" spans="2:14" ht="18.75" x14ac:dyDescent="0.25">
      <c r="B75" s="13">
        <f t="shared" si="1"/>
        <v>65</v>
      </c>
      <c r="C75" s="10" t="s">
        <v>16</v>
      </c>
      <c r="D75" s="11">
        <v>87</v>
      </c>
      <c r="E75" s="11" t="s">
        <v>38</v>
      </c>
      <c r="F75" s="12">
        <v>12.5</v>
      </c>
      <c r="G75" s="10"/>
      <c r="H75" s="20">
        <v>2.4</v>
      </c>
      <c r="I75" s="21">
        <f t="shared" ref="I75:I138" si="4">F75*H75</f>
        <v>30</v>
      </c>
      <c r="J75" s="13" t="s">
        <v>152</v>
      </c>
      <c r="K75" s="13" t="s">
        <v>256</v>
      </c>
      <c r="L75" s="26"/>
      <c r="M75" s="26"/>
      <c r="N75" s="26"/>
    </row>
    <row r="76" spans="2:14" ht="18.75" x14ac:dyDescent="0.25">
      <c r="B76" s="13">
        <f t="shared" si="1"/>
        <v>66</v>
      </c>
      <c r="C76" s="10" t="s">
        <v>16</v>
      </c>
      <c r="D76" s="11">
        <v>86</v>
      </c>
      <c r="E76" s="11" t="s">
        <v>38</v>
      </c>
      <c r="F76" s="12">
        <v>12.5</v>
      </c>
      <c r="G76" s="10"/>
      <c r="H76" s="20">
        <v>2.4</v>
      </c>
      <c r="I76" s="21">
        <f t="shared" si="4"/>
        <v>30</v>
      </c>
      <c r="J76" s="13" t="s">
        <v>51</v>
      </c>
      <c r="K76" s="13" t="s">
        <v>274</v>
      </c>
      <c r="L76" s="26"/>
      <c r="M76" s="26"/>
      <c r="N76" s="26"/>
    </row>
    <row r="77" spans="2:14" ht="18.75" x14ac:dyDescent="0.25">
      <c r="B77" s="13">
        <f t="shared" ref="B77:B140" si="5">+B76+1</f>
        <v>67</v>
      </c>
      <c r="C77" s="10" t="s">
        <v>16</v>
      </c>
      <c r="D77" s="11">
        <v>85</v>
      </c>
      <c r="E77" s="11" t="s">
        <v>38</v>
      </c>
      <c r="F77" s="12">
        <v>12.5</v>
      </c>
      <c r="G77" s="10"/>
      <c r="H77" s="20">
        <v>2.4</v>
      </c>
      <c r="I77" s="21">
        <f t="shared" si="4"/>
        <v>30</v>
      </c>
      <c r="J77" s="13" t="s">
        <v>167</v>
      </c>
      <c r="K77" s="13" t="s">
        <v>272</v>
      </c>
      <c r="L77" s="26"/>
      <c r="M77" s="26"/>
      <c r="N77" s="26"/>
    </row>
    <row r="78" spans="2:14" ht="18.75" x14ac:dyDescent="0.25">
      <c r="B78" s="13">
        <f t="shared" si="5"/>
        <v>68</v>
      </c>
      <c r="C78" s="10" t="s">
        <v>16</v>
      </c>
      <c r="D78" s="11">
        <v>84</v>
      </c>
      <c r="E78" s="11" t="s">
        <v>38</v>
      </c>
      <c r="F78" s="12">
        <v>12.5</v>
      </c>
      <c r="G78" s="10"/>
      <c r="H78" s="20">
        <v>2.4</v>
      </c>
      <c r="I78" s="21">
        <f t="shared" si="4"/>
        <v>30</v>
      </c>
      <c r="J78" s="13" t="s">
        <v>183</v>
      </c>
      <c r="K78" s="13" t="s">
        <v>233</v>
      </c>
      <c r="L78" s="26"/>
      <c r="M78" s="26"/>
      <c r="N78" s="26"/>
    </row>
    <row r="79" spans="2:14" ht="18.75" x14ac:dyDescent="0.25">
      <c r="B79" s="13">
        <f t="shared" si="5"/>
        <v>69</v>
      </c>
      <c r="C79" s="10" t="s">
        <v>16</v>
      </c>
      <c r="D79" s="11">
        <v>83</v>
      </c>
      <c r="E79" s="11" t="s">
        <v>38</v>
      </c>
      <c r="F79" s="12">
        <v>12.5</v>
      </c>
      <c r="G79" s="10"/>
      <c r="H79" s="20">
        <v>2.4</v>
      </c>
      <c r="I79" s="21">
        <f t="shared" si="4"/>
        <v>30</v>
      </c>
      <c r="J79" s="13" t="s">
        <v>39</v>
      </c>
      <c r="K79" s="13" t="s">
        <v>229</v>
      </c>
      <c r="L79" s="26"/>
      <c r="M79" s="26"/>
      <c r="N79" s="26"/>
    </row>
    <row r="80" spans="2:14" ht="18.75" x14ac:dyDescent="0.3">
      <c r="B80" s="13">
        <f t="shared" si="5"/>
        <v>70</v>
      </c>
      <c r="C80" s="39" t="s">
        <v>16</v>
      </c>
      <c r="D80" s="40">
        <v>82</v>
      </c>
      <c r="E80" s="40" t="s">
        <v>38</v>
      </c>
      <c r="F80" s="32">
        <v>12.5</v>
      </c>
      <c r="G80" s="39"/>
      <c r="H80" s="20">
        <v>2.4</v>
      </c>
      <c r="I80" s="21">
        <f t="shared" si="4"/>
        <v>30</v>
      </c>
      <c r="J80" s="33" t="s">
        <v>33</v>
      </c>
      <c r="K80" s="34" t="s">
        <v>258</v>
      </c>
      <c r="L80" s="35">
        <f t="shared" ref="L80" si="6">+I80</f>
        <v>30</v>
      </c>
      <c r="M80" s="24"/>
      <c r="N80" s="24"/>
    </row>
    <row r="81" spans="2:14" ht="18.75" x14ac:dyDescent="0.25">
      <c r="B81" s="13">
        <f t="shared" si="5"/>
        <v>71</v>
      </c>
      <c r="C81" s="10" t="s">
        <v>16</v>
      </c>
      <c r="D81" s="11">
        <v>81</v>
      </c>
      <c r="E81" s="11" t="s">
        <v>38</v>
      </c>
      <c r="F81" s="12">
        <v>12.5</v>
      </c>
      <c r="G81" s="10"/>
      <c r="H81" s="20">
        <v>2.4</v>
      </c>
      <c r="I81" s="21">
        <f t="shared" si="4"/>
        <v>30</v>
      </c>
      <c r="J81" s="13" t="s">
        <v>166</v>
      </c>
      <c r="K81" s="13" t="s">
        <v>202</v>
      </c>
      <c r="L81" s="26"/>
      <c r="M81" s="26"/>
      <c r="N81" s="26"/>
    </row>
    <row r="82" spans="2:14" ht="18.75" x14ac:dyDescent="0.25">
      <c r="B82" s="13">
        <f t="shared" si="5"/>
        <v>72</v>
      </c>
      <c r="C82" s="10" t="s">
        <v>16</v>
      </c>
      <c r="D82" s="11">
        <v>80</v>
      </c>
      <c r="E82" s="11" t="s">
        <v>38</v>
      </c>
      <c r="F82" s="12">
        <v>25</v>
      </c>
      <c r="G82" s="10"/>
      <c r="H82" s="20">
        <v>2.4</v>
      </c>
      <c r="I82" s="21">
        <f t="shared" si="4"/>
        <v>60</v>
      </c>
      <c r="J82" s="13" t="s">
        <v>40</v>
      </c>
      <c r="K82" s="13" t="s">
        <v>261</v>
      </c>
      <c r="L82" s="26"/>
      <c r="M82" s="26"/>
      <c r="N82" s="26"/>
    </row>
    <row r="83" spans="2:14" ht="18.75" x14ac:dyDescent="0.25">
      <c r="B83" s="13">
        <f t="shared" si="5"/>
        <v>73</v>
      </c>
      <c r="C83" s="10" t="s">
        <v>16</v>
      </c>
      <c r="D83" s="11">
        <v>79</v>
      </c>
      <c r="E83" s="11" t="s">
        <v>38</v>
      </c>
      <c r="F83" s="12">
        <v>12.5</v>
      </c>
      <c r="G83" s="10"/>
      <c r="H83" s="20">
        <v>2.4</v>
      </c>
      <c r="I83" s="21">
        <f t="shared" si="4"/>
        <v>30</v>
      </c>
      <c r="J83" s="13" t="s">
        <v>41</v>
      </c>
      <c r="K83" s="13" t="s">
        <v>232</v>
      </c>
      <c r="L83" s="26"/>
      <c r="M83" s="26"/>
      <c r="N83" s="26"/>
    </row>
    <row r="84" spans="2:14" ht="18.75" x14ac:dyDescent="0.25">
      <c r="B84" s="13">
        <f t="shared" si="5"/>
        <v>74</v>
      </c>
      <c r="C84" s="10" t="s">
        <v>16</v>
      </c>
      <c r="D84" s="11">
        <v>78</v>
      </c>
      <c r="E84" s="11" t="s">
        <v>38</v>
      </c>
      <c r="F84" s="12">
        <v>12.5</v>
      </c>
      <c r="G84" s="10"/>
      <c r="H84" s="20">
        <v>2.4</v>
      </c>
      <c r="I84" s="21">
        <f t="shared" si="4"/>
        <v>30</v>
      </c>
      <c r="J84" s="13" t="s">
        <v>42</v>
      </c>
      <c r="K84" s="13" t="s">
        <v>273</v>
      </c>
      <c r="L84" s="26"/>
      <c r="M84" s="26"/>
      <c r="N84" s="26"/>
    </row>
    <row r="85" spans="2:14" ht="18.75" x14ac:dyDescent="0.25">
      <c r="B85" s="13">
        <f t="shared" si="5"/>
        <v>75</v>
      </c>
      <c r="C85" s="10" t="s">
        <v>16</v>
      </c>
      <c r="D85" s="11">
        <v>77</v>
      </c>
      <c r="E85" s="11" t="s">
        <v>38</v>
      </c>
      <c r="F85" s="12">
        <v>12.5</v>
      </c>
      <c r="G85" s="10"/>
      <c r="H85" s="20">
        <v>2.4</v>
      </c>
      <c r="I85" s="21">
        <f t="shared" si="4"/>
        <v>30</v>
      </c>
      <c r="J85" s="13" t="s">
        <v>43</v>
      </c>
      <c r="K85" s="13" t="s">
        <v>251</v>
      </c>
      <c r="L85" s="26"/>
      <c r="M85" s="26"/>
      <c r="N85" s="26"/>
    </row>
    <row r="86" spans="2:14" ht="18.75" x14ac:dyDescent="0.25">
      <c r="B86" s="13">
        <f t="shared" si="5"/>
        <v>76</v>
      </c>
      <c r="C86" s="10" t="s">
        <v>16</v>
      </c>
      <c r="D86" s="11">
        <v>76</v>
      </c>
      <c r="E86" s="11" t="s">
        <v>38</v>
      </c>
      <c r="F86" s="12">
        <v>12.5</v>
      </c>
      <c r="G86" s="10"/>
      <c r="H86" s="20">
        <v>2.4</v>
      </c>
      <c r="I86" s="21">
        <f t="shared" si="4"/>
        <v>30</v>
      </c>
      <c r="J86" s="13" t="s">
        <v>43</v>
      </c>
      <c r="K86" s="13" t="s">
        <v>251</v>
      </c>
      <c r="L86" s="26"/>
      <c r="M86" s="26"/>
      <c r="N86" s="26"/>
    </row>
    <row r="87" spans="2:14" ht="18.75" x14ac:dyDescent="0.25">
      <c r="B87" s="13">
        <f t="shared" si="5"/>
        <v>77</v>
      </c>
      <c r="C87" s="10" t="s">
        <v>16</v>
      </c>
      <c r="D87" s="11">
        <v>75</v>
      </c>
      <c r="E87" s="11" t="s">
        <v>38</v>
      </c>
      <c r="F87" s="12">
        <v>12.5</v>
      </c>
      <c r="G87" s="10"/>
      <c r="H87" s="20">
        <v>2.4</v>
      </c>
      <c r="I87" s="21">
        <f t="shared" si="4"/>
        <v>30</v>
      </c>
      <c r="J87" s="13" t="s">
        <v>44</v>
      </c>
      <c r="K87" s="13" t="s">
        <v>264</v>
      </c>
      <c r="L87" s="26"/>
      <c r="M87" s="26"/>
      <c r="N87" s="26"/>
    </row>
    <row r="88" spans="2:14" ht="18.75" x14ac:dyDescent="0.25">
      <c r="B88" s="13">
        <f t="shared" si="5"/>
        <v>78</v>
      </c>
      <c r="C88" s="10" t="s">
        <v>16</v>
      </c>
      <c r="D88" s="11">
        <v>74</v>
      </c>
      <c r="E88" s="11" t="s">
        <v>38</v>
      </c>
      <c r="F88" s="12">
        <v>12.5</v>
      </c>
      <c r="G88" s="10"/>
      <c r="H88" s="20">
        <v>2.4</v>
      </c>
      <c r="I88" s="21">
        <f t="shared" si="4"/>
        <v>30</v>
      </c>
      <c r="J88" s="13" t="s">
        <v>121</v>
      </c>
      <c r="K88" s="13" t="s">
        <v>241</v>
      </c>
      <c r="L88" s="26"/>
      <c r="M88" s="26"/>
      <c r="N88" s="26"/>
    </row>
    <row r="89" spans="2:14" ht="18.75" x14ac:dyDescent="0.25">
      <c r="B89" s="13">
        <f t="shared" si="5"/>
        <v>79</v>
      </c>
      <c r="C89" s="10" t="s">
        <v>24</v>
      </c>
      <c r="D89" s="11" t="s">
        <v>45</v>
      </c>
      <c r="E89" s="11" t="s">
        <v>38</v>
      </c>
      <c r="F89" s="12">
        <v>24.1</v>
      </c>
      <c r="G89" s="10"/>
      <c r="H89" s="20">
        <v>2.4</v>
      </c>
      <c r="I89" s="21">
        <f t="shared" si="4"/>
        <v>57.84</v>
      </c>
      <c r="J89" s="13" t="s">
        <v>121</v>
      </c>
      <c r="K89" s="13" t="s">
        <v>241</v>
      </c>
      <c r="L89" s="26"/>
      <c r="M89" s="26"/>
      <c r="N89" s="26"/>
    </row>
    <row r="90" spans="2:14" ht="18.75" x14ac:dyDescent="0.25">
      <c r="B90" s="13">
        <f t="shared" si="5"/>
        <v>80</v>
      </c>
      <c r="C90" s="10" t="s">
        <v>16</v>
      </c>
      <c r="D90" s="11">
        <v>72</v>
      </c>
      <c r="E90" s="11" t="s">
        <v>38</v>
      </c>
      <c r="F90" s="12">
        <v>12.5</v>
      </c>
      <c r="G90" s="10"/>
      <c r="H90" s="20">
        <v>2.4</v>
      </c>
      <c r="I90" s="21">
        <f t="shared" si="4"/>
        <v>30</v>
      </c>
      <c r="J90" s="13" t="s">
        <v>46</v>
      </c>
      <c r="K90" s="13" t="s">
        <v>196</v>
      </c>
      <c r="L90" s="26"/>
      <c r="M90" s="26"/>
      <c r="N90" s="26"/>
    </row>
    <row r="91" spans="2:14" ht="18.75" x14ac:dyDescent="0.25">
      <c r="B91" s="13">
        <f t="shared" si="5"/>
        <v>81</v>
      </c>
      <c r="C91" s="10" t="s">
        <v>16</v>
      </c>
      <c r="D91" s="11">
        <v>71</v>
      </c>
      <c r="E91" s="11" t="s">
        <v>38</v>
      </c>
      <c r="F91" s="12">
        <v>12.5</v>
      </c>
      <c r="G91" s="10"/>
      <c r="H91" s="20">
        <v>2.4</v>
      </c>
      <c r="I91" s="21">
        <f t="shared" si="4"/>
        <v>30</v>
      </c>
      <c r="J91" s="13" t="s">
        <v>99</v>
      </c>
      <c r="K91" s="13" t="s">
        <v>204</v>
      </c>
      <c r="L91" s="26"/>
      <c r="M91" s="26"/>
      <c r="N91" s="26"/>
    </row>
    <row r="92" spans="2:14" ht="18.75" x14ac:dyDescent="0.25">
      <c r="B92" s="13">
        <f t="shared" si="5"/>
        <v>82</v>
      </c>
      <c r="C92" s="10" t="s">
        <v>16</v>
      </c>
      <c r="D92" s="11">
        <v>70</v>
      </c>
      <c r="E92" s="11" t="s">
        <v>38</v>
      </c>
      <c r="F92" s="12">
        <v>12.5</v>
      </c>
      <c r="G92" s="10"/>
      <c r="H92" s="20">
        <v>2.4</v>
      </c>
      <c r="I92" s="21">
        <f t="shared" si="4"/>
        <v>30</v>
      </c>
      <c r="J92" s="13" t="s">
        <v>47</v>
      </c>
      <c r="K92" s="13" t="s">
        <v>260</v>
      </c>
      <c r="L92" s="26"/>
      <c r="M92" s="26"/>
      <c r="N92" s="26"/>
    </row>
    <row r="93" spans="2:14" ht="18.75" x14ac:dyDescent="0.25">
      <c r="B93" s="13">
        <f t="shared" si="5"/>
        <v>83</v>
      </c>
      <c r="C93" s="10" t="s">
        <v>16</v>
      </c>
      <c r="D93" s="11">
        <v>69</v>
      </c>
      <c r="E93" s="11" t="s">
        <v>38</v>
      </c>
      <c r="F93" s="12">
        <v>12.5</v>
      </c>
      <c r="G93" s="10"/>
      <c r="H93" s="20">
        <v>2.4</v>
      </c>
      <c r="I93" s="21">
        <f t="shared" si="4"/>
        <v>30</v>
      </c>
      <c r="J93" s="13" t="s">
        <v>48</v>
      </c>
      <c r="K93" s="13" t="s">
        <v>199</v>
      </c>
      <c r="L93" s="26"/>
      <c r="M93" s="26"/>
      <c r="N93" s="26"/>
    </row>
    <row r="94" spans="2:14" ht="18.75" x14ac:dyDescent="0.25">
      <c r="B94" s="13">
        <f t="shared" si="5"/>
        <v>84</v>
      </c>
      <c r="C94" s="10" t="s">
        <v>16</v>
      </c>
      <c r="D94" s="11">
        <v>68</v>
      </c>
      <c r="E94" s="11" t="s">
        <v>38</v>
      </c>
      <c r="F94" s="12">
        <v>12.5</v>
      </c>
      <c r="G94" s="10"/>
      <c r="H94" s="20">
        <v>2.4</v>
      </c>
      <c r="I94" s="21">
        <f t="shared" si="4"/>
        <v>30</v>
      </c>
      <c r="J94" s="13" t="s">
        <v>49</v>
      </c>
      <c r="K94" s="13" t="s">
        <v>254</v>
      </c>
      <c r="L94" s="26"/>
      <c r="M94" s="26"/>
      <c r="N94" s="26"/>
    </row>
    <row r="95" spans="2:14" ht="18.75" x14ac:dyDescent="0.25">
      <c r="B95" s="13">
        <f t="shared" si="5"/>
        <v>85</v>
      </c>
      <c r="C95" s="10" t="s">
        <v>16</v>
      </c>
      <c r="D95" s="11">
        <v>67</v>
      </c>
      <c r="E95" s="11" t="s">
        <v>38</v>
      </c>
      <c r="F95" s="12">
        <v>12.5</v>
      </c>
      <c r="G95" s="10"/>
      <c r="H95" s="20">
        <v>2.4</v>
      </c>
      <c r="I95" s="21">
        <f t="shared" si="4"/>
        <v>30</v>
      </c>
      <c r="J95" s="13" t="s">
        <v>277</v>
      </c>
      <c r="K95" s="13" t="s">
        <v>224</v>
      </c>
      <c r="L95" s="26"/>
      <c r="M95" s="26"/>
      <c r="N95" s="26"/>
    </row>
    <row r="96" spans="2:14" ht="18.75" x14ac:dyDescent="0.25">
      <c r="B96" s="13">
        <f t="shared" si="5"/>
        <v>86</v>
      </c>
      <c r="C96" s="10" t="s">
        <v>16</v>
      </c>
      <c r="D96" s="11">
        <v>66</v>
      </c>
      <c r="E96" s="11" t="s">
        <v>38</v>
      </c>
      <c r="F96" s="12">
        <v>12.5</v>
      </c>
      <c r="G96" s="10"/>
      <c r="H96" s="20">
        <v>2.4</v>
      </c>
      <c r="I96" s="21">
        <f t="shared" si="4"/>
        <v>30</v>
      </c>
      <c r="J96" s="13" t="s">
        <v>277</v>
      </c>
      <c r="K96" s="13" t="s">
        <v>224</v>
      </c>
      <c r="L96" s="26"/>
      <c r="M96" s="26"/>
      <c r="N96" s="26"/>
    </row>
    <row r="97" spans="2:14" ht="18.75" x14ac:dyDescent="0.25">
      <c r="B97" s="13">
        <f t="shared" si="5"/>
        <v>87</v>
      </c>
      <c r="C97" s="10" t="s">
        <v>16</v>
      </c>
      <c r="D97" s="11">
        <v>65</v>
      </c>
      <c r="E97" s="11" t="s">
        <v>38</v>
      </c>
      <c r="F97" s="12">
        <v>12.5</v>
      </c>
      <c r="G97" s="10"/>
      <c r="H97" s="20">
        <v>2.4</v>
      </c>
      <c r="I97" s="21">
        <f t="shared" si="4"/>
        <v>30</v>
      </c>
      <c r="J97" s="13" t="s">
        <v>121</v>
      </c>
      <c r="K97" s="13" t="s">
        <v>245</v>
      </c>
      <c r="L97" s="26"/>
      <c r="M97" s="26"/>
      <c r="N97" s="26"/>
    </row>
    <row r="98" spans="2:14" ht="18.75" x14ac:dyDescent="0.25">
      <c r="B98" s="13">
        <f t="shared" si="5"/>
        <v>88</v>
      </c>
      <c r="C98" s="10" t="s">
        <v>16</v>
      </c>
      <c r="D98" s="11">
        <v>64</v>
      </c>
      <c r="E98" s="11" t="s">
        <v>38</v>
      </c>
      <c r="F98" s="12">
        <v>12.5</v>
      </c>
      <c r="G98" s="10"/>
      <c r="H98" s="20">
        <v>2.4</v>
      </c>
      <c r="I98" s="21">
        <f t="shared" si="4"/>
        <v>30</v>
      </c>
      <c r="J98" s="13" t="s">
        <v>121</v>
      </c>
      <c r="K98" s="13" t="s">
        <v>245</v>
      </c>
      <c r="L98" s="26"/>
      <c r="M98" s="26"/>
      <c r="N98" s="26"/>
    </row>
    <row r="99" spans="2:14" ht="18.75" x14ac:dyDescent="0.25">
      <c r="B99" s="13">
        <f t="shared" si="5"/>
        <v>89</v>
      </c>
      <c r="C99" s="10" t="s">
        <v>16</v>
      </c>
      <c r="D99" s="11">
        <v>63</v>
      </c>
      <c r="E99" s="11" t="s">
        <v>38</v>
      </c>
      <c r="F99" s="12">
        <v>12.5</v>
      </c>
      <c r="G99" s="10"/>
      <c r="H99" s="20">
        <v>2.4</v>
      </c>
      <c r="I99" s="21">
        <f t="shared" si="4"/>
        <v>30</v>
      </c>
      <c r="J99" s="13" t="s">
        <v>182</v>
      </c>
      <c r="K99" s="13" t="s">
        <v>225</v>
      </c>
      <c r="L99" s="26"/>
      <c r="M99" s="26"/>
      <c r="N99" s="26"/>
    </row>
    <row r="100" spans="2:14" ht="18.75" x14ac:dyDescent="0.25">
      <c r="B100" s="13">
        <f t="shared" si="5"/>
        <v>90</v>
      </c>
      <c r="C100" s="10" t="s">
        <v>34</v>
      </c>
      <c r="D100" s="11">
        <v>56</v>
      </c>
      <c r="E100" s="11" t="s">
        <v>38</v>
      </c>
      <c r="F100" s="12">
        <v>5.57</v>
      </c>
      <c r="G100" s="10"/>
      <c r="H100" s="20">
        <v>2.4</v>
      </c>
      <c r="I100" s="21">
        <f t="shared" si="4"/>
        <v>13.368</v>
      </c>
      <c r="J100" s="13" t="s">
        <v>33</v>
      </c>
      <c r="K100" s="13" t="s">
        <v>231</v>
      </c>
      <c r="L100" s="26"/>
      <c r="M100" s="26"/>
      <c r="N100" s="26"/>
    </row>
    <row r="101" spans="2:14" ht="18.75" x14ac:dyDescent="0.25">
      <c r="B101" s="13">
        <f t="shared" si="5"/>
        <v>91</v>
      </c>
      <c r="C101" s="10" t="s">
        <v>34</v>
      </c>
      <c r="D101" s="11">
        <v>55</v>
      </c>
      <c r="E101" s="11" t="s">
        <v>38</v>
      </c>
      <c r="F101" s="12">
        <v>5.57</v>
      </c>
      <c r="G101" s="10"/>
      <c r="H101" s="20">
        <v>2.4</v>
      </c>
      <c r="I101" s="21">
        <f t="shared" si="4"/>
        <v>13.368</v>
      </c>
      <c r="J101" s="13" t="s">
        <v>276</v>
      </c>
      <c r="K101" s="13" t="s">
        <v>240</v>
      </c>
      <c r="L101" s="26"/>
      <c r="M101" s="26"/>
      <c r="N101" s="26"/>
    </row>
    <row r="102" spans="2:14" ht="18.75" x14ac:dyDescent="0.25">
      <c r="B102" s="13">
        <f t="shared" si="5"/>
        <v>92</v>
      </c>
      <c r="C102" s="10" t="s">
        <v>34</v>
      </c>
      <c r="D102" s="11">
        <v>54</v>
      </c>
      <c r="E102" s="11" t="s">
        <v>38</v>
      </c>
      <c r="F102" s="12">
        <v>5.57</v>
      </c>
      <c r="G102" s="10"/>
      <c r="H102" s="20">
        <v>2.4</v>
      </c>
      <c r="I102" s="21">
        <f t="shared" si="4"/>
        <v>13.368</v>
      </c>
      <c r="J102" s="13" t="s">
        <v>50</v>
      </c>
      <c r="K102" s="13" t="s">
        <v>252</v>
      </c>
      <c r="L102" s="28">
        <f t="shared" ref="L102" si="7">+I102</f>
        <v>13.368</v>
      </c>
      <c r="M102" s="26"/>
      <c r="N102" s="26"/>
    </row>
    <row r="103" spans="2:14" ht="18.75" x14ac:dyDescent="0.25">
      <c r="B103" s="13">
        <f t="shared" si="5"/>
        <v>93</v>
      </c>
      <c r="C103" s="10" t="s">
        <v>34</v>
      </c>
      <c r="D103" s="11">
        <v>53</v>
      </c>
      <c r="E103" s="11" t="s">
        <v>38</v>
      </c>
      <c r="F103" s="12">
        <v>5.57</v>
      </c>
      <c r="G103" s="10"/>
      <c r="H103" s="20">
        <v>2.4</v>
      </c>
      <c r="I103" s="21">
        <f t="shared" si="4"/>
        <v>13.368</v>
      </c>
      <c r="J103" s="13" t="s">
        <v>277</v>
      </c>
      <c r="K103" s="13" t="s">
        <v>224</v>
      </c>
      <c r="L103" s="26"/>
      <c r="M103" s="26"/>
      <c r="N103" s="26"/>
    </row>
    <row r="104" spans="2:14" ht="18.75" x14ac:dyDescent="0.25">
      <c r="B104" s="13">
        <f t="shared" si="5"/>
        <v>94</v>
      </c>
      <c r="C104" s="10" t="s">
        <v>34</v>
      </c>
      <c r="D104" s="11">
        <v>52</v>
      </c>
      <c r="E104" s="11" t="s">
        <v>38</v>
      </c>
      <c r="F104" s="12">
        <v>5.51</v>
      </c>
      <c r="G104" s="10"/>
      <c r="H104" s="20">
        <v>2.4</v>
      </c>
      <c r="I104" s="21">
        <f t="shared" si="4"/>
        <v>13.223999999999998</v>
      </c>
      <c r="J104" s="13" t="s">
        <v>179</v>
      </c>
      <c r="K104" s="13" t="s">
        <v>216</v>
      </c>
      <c r="L104" s="26"/>
      <c r="M104" s="26"/>
      <c r="N104" s="26"/>
    </row>
    <row r="105" spans="2:14" ht="18.75" x14ac:dyDescent="0.25">
      <c r="B105" s="13">
        <f t="shared" si="5"/>
        <v>95</v>
      </c>
      <c r="C105" s="10" t="s">
        <v>34</v>
      </c>
      <c r="D105" s="11">
        <v>51</v>
      </c>
      <c r="E105" s="11" t="s">
        <v>38</v>
      </c>
      <c r="F105" s="12">
        <v>5.62</v>
      </c>
      <c r="G105" s="10"/>
      <c r="H105" s="20">
        <v>2.4</v>
      </c>
      <c r="I105" s="21">
        <f t="shared" si="4"/>
        <v>13.488</v>
      </c>
      <c r="J105" s="13" t="s">
        <v>277</v>
      </c>
      <c r="K105" s="13" t="s">
        <v>224</v>
      </c>
      <c r="L105" s="26"/>
      <c r="M105" s="26"/>
      <c r="N105" s="26"/>
    </row>
    <row r="106" spans="2:14" ht="18.75" x14ac:dyDescent="0.25">
      <c r="B106" s="13">
        <f t="shared" si="5"/>
        <v>96</v>
      </c>
      <c r="C106" s="10" t="s">
        <v>34</v>
      </c>
      <c r="D106" s="11">
        <v>50</v>
      </c>
      <c r="E106" s="11" t="s">
        <v>38</v>
      </c>
      <c r="F106" s="12">
        <v>5.57</v>
      </c>
      <c r="G106" s="10"/>
      <c r="H106" s="20">
        <v>2.4</v>
      </c>
      <c r="I106" s="21">
        <f t="shared" si="4"/>
        <v>13.368</v>
      </c>
      <c r="J106" s="13" t="s">
        <v>183</v>
      </c>
      <c r="K106" s="13" t="s">
        <v>233</v>
      </c>
      <c r="L106" s="26"/>
      <c r="M106" s="26"/>
      <c r="N106" s="26"/>
    </row>
    <row r="107" spans="2:14" ht="18.75" x14ac:dyDescent="0.25">
      <c r="B107" s="13">
        <f t="shared" si="5"/>
        <v>97</v>
      </c>
      <c r="C107" s="10" t="s">
        <v>34</v>
      </c>
      <c r="D107" s="11">
        <v>49</v>
      </c>
      <c r="E107" s="11" t="s">
        <v>38</v>
      </c>
      <c r="F107" s="12">
        <v>5.57</v>
      </c>
      <c r="G107" s="10"/>
      <c r="H107" s="20">
        <v>2.4</v>
      </c>
      <c r="I107" s="21">
        <f t="shared" si="4"/>
        <v>13.368</v>
      </c>
      <c r="J107" s="13" t="s">
        <v>43</v>
      </c>
      <c r="K107" s="13" t="s">
        <v>251</v>
      </c>
      <c r="L107" s="26"/>
      <c r="M107" s="26"/>
      <c r="N107" s="26"/>
    </row>
    <row r="108" spans="2:14" ht="18.75" x14ac:dyDescent="0.25">
      <c r="B108" s="13">
        <f t="shared" si="5"/>
        <v>98</v>
      </c>
      <c r="C108" s="10" t="s">
        <v>34</v>
      </c>
      <c r="D108" s="11">
        <v>48</v>
      </c>
      <c r="E108" s="11" t="s">
        <v>38</v>
      </c>
      <c r="F108" s="12">
        <v>5.57</v>
      </c>
      <c r="G108" s="10"/>
      <c r="H108" s="20">
        <v>2.4</v>
      </c>
      <c r="I108" s="21">
        <f t="shared" si="4"/>
        <v>13.368</v>
      </c>
      <c r="J108" s="13" t="s">
        <v>47</v>
      </c>
      <c r="K108" s="13" t="s">
        <v>260</v>
      </c>
      <c r="L108" s="26"/>
      <c r="M108" s="26"/>
      <c r="N108" s="26"/>
    </row>
    <row r="109" spans="2:14" ht="18.75" x14ac:dyDescent="0.25">
      <c r="B109" s="13">
        <f t="shared" si="5"/>
        <v>99</v>
      </c>
      <c r="C109" s="10" t="s">
        <v>34</v>
      </c>
      <c r="D109" s="11">
        <v>47</v>
      </c>
      <c r="E109" s="11" t="s">
        <v>38</v>
      </c>
      <c r="F109" s="12">
        <v>5.51</v>
      </c>
      <c r="G109" s="10"/>
      <c r="H109" s="20">
        <v>2.4</v>
      </c>
      <c r="I109" s="21">
        <f t="shared" si="4"/>
        <v>13.223999999999998</v>
      </c>
      <c r="J109" s="13" t="s">
        <v>51</v>
      </c>
      <c r="K109" s="13" t="s">
        <v>274</v>
      </c>
      <c r="L109" s="26"/>
      <c r="M109" s="26"/>
      <c r="N109" s="26"/>
    </row>
    <row r="110" spans="2:14" ht="18.75" x14ac:dyDescent="0.3">
      <c r="B110" s="13">
        <f t="shared" si="5"/>
        <v>100</v>
      </c>
      <c r="C110" s="19" t="s">
        <v>34</v>
      </c>
      <c r="D110" s="20">
        <v>46</v>
      </c>
      <c r="E110" s="20" t="s">
        <v>38</v>
      </c>
      <c r="F110" s="21">
        <v>5.57</v>
      </c>
      <c r="G110" s="19"/>
      <c r="H110" s="20">
        <v>2.4</v>
      </c>
      <c r="I110" s="21">
        <f t="shared" si="4"/>
        <v>13.368</v>
      </c>
      <c r="J110" s="22" t="s">
        <v>15</v>
      </c>
      <c r="K110" s="22" t="s">
        <v>52</v>
      </c>
      <c r="L110" s="23">
        <f t="shared" ref="L110:L115" si="8">+I110</f>
        <v>13.368</v>
      </c>
      <c r="M110" s="24"/>
      <c r="N110" s="24"/>
    </row>
    <row r="111" spans="2:14" ht="18.75" x14ac:dyDescent="0.3">
      <c r="B111" s="13">
        <f t="shared" si="5"/>
        <v>101</v>
      </c>
      <c r="C111" s="19" t="s">
        <v>34</v>
      </c>
      <c r="D111" s="20">
        <v>45</v>
      </c>
      <c r="E111" s="20" t="s">
        <v>38</v>
      </c>
      <c r="F111" s="21">
        <v>18.78</v>
      </c>
      <c r="G111" s="19"/>
      <c r="H111" s="20">
        <v>2.4</v>
      </c>
      <c r="I111" s="21">
        <f t="shared" si="4"/>
        <v>45.072000000000003</v>
      </c>
      <c r="J111" s="22" t="s">
        <v>15</v>
      </c>
      <c r="K111" s="22" t="s">
        <v>52</v>
      </c>
      <c r="L111" s="23">
        <f t="shared" si="8"/>
        <v>45.072000000000003</v>
      </c>
      <c r="M111" s="24"/>
      <c r="N111" s="24"/>
    </row>
    <row r="112" spans="2:14" ht="18.75" x14ac:dyDescent="0.3">
      <c r="B112" s="13">
        <f t="shared" si="5"/>
        <v>102</v>
      </c>
      <c r="C112" s="19" t="s">
        <v>34</v>
      </c>
      <c r="D112" s="20">
        <v>44</v>
      </c>
      <c r="E112" s="20" t="s">
        <v>38</v>
      </c>
      <c r="F112" s="21">
        <v>7.38</v>
      </c>
      <c r="G112" s="19"/>
      <c r="H112" s="20">
        <v>2.4</v>
      </c>
      <c r="I112" s="21">
        <f t="shared" si="4"/>
        <v>17.712</v>
      </c>
      <c r="J112" s="22" t="s">
        <v>15</v>
      </c>
      <c r="K112" s="22" t="s">
        <v>52</v>
      </c>
      <c r="L112" s="23">
        <f t="shared" si="8"/>
        <v>17.712</v>
      </c>
      <c r="M112" s="24"/>
      <c r="N112" s="24"/>
    </row>
    <row r="113" spans="2:14" ht="18.75" x14ac:dyDescent="0.25">
      <c r="B113" s="13">
        <f t="shared" si="5"/>
        <v>103</v>
      </c>
      <c r="C113" s="10" t="s">
        <v>34</v>
      </c>
      <c r="D113" s="11">
        <v>43</v>
      </c>
      <c r="E113" s="11" t="s">
        <v>38</v>
      </c>
      <c r="F113" s="12">
        <v>7.62</v>
      </c>
      <c r="G113" s="10"/>
      <c r="H113" s="20">
        <v>2.4</v>
      </c>
      <c r="I113" s="21">
        <f t="shared" si="4"/>
        <v>18.288</v>
      </c>
      <c r="J113" s="13" t="s">
        <v>39</v>
      </c>
      <c r="K113" s="13" t="s">
        <v>229</v>
      </c>
      <c r="L113" s="26"/>
      <c r="M113" s="26"/>
      <c r="N113" s="26"/>
    </row>
    <row r="114" spans="2:14" ht="18.75" x14ac:dyDescent="0.3">
      <c r="B114" s="13">
        <f t="shared" si="5"/>
        <v>104</v>
      </c>
      <c r="C114" s="19" t="s">
        <v>34</v>
      </c>
      <c r="D114" s="20">
        <v>42</v>
      </c>
      <c r="E114" s="20" t="s">
        <v>38</v>
      </c>
      <c r="F114" s="21">
        <v>7.62</v>
      </c>
      <c r="G114" s="19"/>
      <c r="H114" s="20">
        <v>2.4</v>
      </c>
      <c r="I114" s="21">
        <f t="shared" si="4"/>
        <v>18.288</v>
      </c>
      <c r="J114" s="22" t="s">
        <v>15</v>
      </c>
      <c r="K114" s="22" t="s">
        <v>52</v>
      </c>
      <c r="L114" s="23">
        <f t="shared" si="8"/>
        <v>18.288</v>
      </c>
      <c r="M114" s="24"/>
      <c r="N114" s="24"/>
    </row>
    <row r="115" spans="2:14" ht="18.75" x14ac:dyDescent="0.3">
      <c r="B115" s="13">
        <f t="shared" si="5"/>
        <v>105</v>
      </c>
      <c r="C115" s="19" t="s">
        <v>34</v>
      </c>
      <c r="D115" s="20">
        <v>301</v>
      </c>
      <c r="E115" s="20" t="s">
        <v>38</v>
      </c>
      <c r="F115" s="21">
        <v>10.67</v>
      </c>
      <c r="G115" s="19"/>
      <c r="H115" s="20">
        <v>2.4</v>
      </c>
      <c r="I115" s="21">
        <f t="shared" si="4"/>
        <v>25.608000000000001</v>
      </c>
      <c r="J115" s="22" t="s">
        <v>15</v>
      </c>
      <c r="K115" s="22" t="s">
        <v>52</v>
      </c>
      <c r="L115" s="23">
        <f t="shared" si="8"/>
        <v>25.608000000000001</v>
      </c>
      <c r="M115" s="24"/>
      <c r="N115" s="24"/>
    </row>
    <row r="116" spans="2:14" ht="18.75" x14ac:dyDescent="0.25">
      <c r="B116" s="13">
        <f t="shared" si="5"/>
        <v>106</v>
      </c>
      <c r="C116" s="10" t="s">
        <v>34</v>
      </c>
      <c r="D116" s="11">
        <v>40</v>
      </c>
      <c r="E116" s="11" t="s">
        <v>38</v>
      </c>
      <c r="F116" s="12">
        <v>5.52</v>
      </c>
      <c r="G116" s="10"/>
      <c r="H116" s="20">
        <v>2.4</v>
      </c>
      <c r="I116" s="21">
        <f t="shared" si="4"/>
        <v>13.247999999999999</v>
      </c>
      <c r="J116" s="13" t="s">
        <v>40</v>
      </c>
      <c r="K116" s="13" t="s">
        <v>261</v>
      </c>
      <c r="L116" s="26"/>
      <c r="M116" s="26"/>
      <c r="N116" s="26"/>
    </row>
    <row r="117" spans="2:14" ht="18.75" x14ac:dyDescent="0.25">
      <c r="B117" s="13">
        <f t="shared" si="5"/>
        <v>107</v>
      </c>
      <c r="C117" s="10" t="s">
        <v>34</v>
      </c>
      <c r="D117" s="11">
        <v>41</v>
      </c>
      <c r="E117" s="11" t="s">
        <v>38</v>
      </c>
      <c r="F117" s="12">
        <v>5.62</v>
      </c>
      <c r="G117" s="10"/>
      <c r="H117" s="20">
        <v>2.4</v>
      </c>
      <c r="I117" s="21">
        <f t="shared" si="4"/>
        <v>13.488</v>
      </c>
      <c r="J117" s="13" t="s">
        <v>187</v>
      </c>
      <c r="K117" s="13" t="s">
        <v>248</v>
      </c>
      <c r="L117" s="26"/>
      <c r="M117" s="26"/>
      <c r="N117" s="26"/>
    </row>
    <row r="118" spans="2:14" ht="18.75" x14ac:dyDescent="0.25">
      <c r="B118" s="13">
        <f t="shared" si="5"/>
        <v>108</v>
      </c>
      <c r="C118" s="10" t="s">
        <v>16</v>
      </c>
      <c r="D118" s="11">
        <v>62</v>
      </c>
      <c r="E118" s="11" t="s">
        <v>53</v>
      </c>
      <c r="F118" s="12">
        <v>12.5</v>
      </c>
      <c r="G118" s="10"/>
      <c r="H118" s="20">
        <v>2.4</v>
      </c>
      <c r="I118" s="21">
        <f t="shared" si="4"/>
        <v>30</v>
      </c>
      <c r="J118" s="13" t="s">
        <v>54</v>
      </c>
      <c r="K118" s="13" t="s">
        <v>237</v>
      </c>
      <c r="L118" s="26"/>
      <c r="M118" s="26"/>
      <c r="N118" s="26"/>
    </row>
    <row r="119" spans="2:14" ht="18.75" x14ac:dyDescent="0.25">
      <c r="B119" s="13">
        <f t="shared" si="5"/>
        <v>109</v>
      </c>
      <c r="C119" s="10" t="s">
        <v>16</v>
      </c>
      <c r="D119" s="11">
        <v>61</v>
      </c>
      <c r="E119" s="11" t="s">
        <v>53</v>
      </c>
      <c r="F119" s="12">
        <v>12.5</v>
      </c>
      <c r="G119" s="10"/>
      <c r="H119" s="20">
        <v>2.4</v>
      </c>
      <c r="I119" s="21">
        <f t="shared" si="4"/>
        <v>30</v>
      </c>
      <c r="J119" s="13" t="s">
        <v>55</v>
      </c>
      <c r="K119" s="13" t="s">
        <v>250</v>
      </c>
      <c r="L119" s="26"/>
      <c r="M119" s="26"/>
      <c r="N119" s="26"/>
    </row>
    <row r="120" spans="2:14" ht="18.75" x14ac:dyDescent="0.25">
      <c r="B120" s="13">
        <f t="shared" si="5"/>
        <v>110</v>
      </c>
      <c r="C120" s="10" t="s">
        <v>16</v>
      </c>
      <c r="D120" s="11">
        <v>60</v>
      </c>
      <c r="E120" s="11" t="s">
        <v>53</v>
      </c>
      <c r="F120" s="12">
        <v>12.5</v>
      </c>
      <c r="G120" s="10"/>
      <c r="H120" s="20">
        <v>2.4</v>
      </c>
      <c r="I120" s="21">
        <f t="shared" si="4"/>
        <v>30</v>
      </c>
      <c r="J120" s="13" t="s">
        <v>78</v>
      </c>
      <c r="K120" s="13" t="s">
        <v>197</v>
      </c>
      <c r="L120" s="26"/>
      <c r="M120" s="26"/>
      <c r="N120" s="26"/>
    </row>
    <row r="121" spans="2:14" ht="18.75" x14ac:dyDescent="0.25">
      <c r="B121" s="13">
        <f t="shared" si="5"/>
        <v>111</v>
      </c>
      <c r="C121" s="10" t="s">
        <v>16</v>
      </c>
      <c r="D121" s="11">
        <v>59</v>
      </c>
      <c r="E121" s="11" t="s">
        <v>53</v>
      </c>
      <c r="F121" s="12">
        <v>12.5</v>
      </c>
      <c r="G121" s="10"/>
      <c r="H121" s="20">
        <v>2.4</v>
      </c>
      <c r="I121" s="21">
        <f t="shared" si="4"/>
        <v>30</v>
      </c>
      <c r="J121" s="13" t="s">
        <v>77</v>
      </c>
      <c r="K121" s="13" t="s">
        <v>201</v>
      </c>
      <c r="L121" s="26"/>
      <c r="M121" s="26"/>
      <c r="N121" s="26"/>
    </row>
    <row r="122" spans="2:14" ht="18.75" x14ac:dyDescent="0.25">
      <c r="B122" s="13">
        <f t="shared" si="5"/>
        <v>112</v>
      </c>
      <c r="C122" s="10" t="s">
        <v>16</v>
      </c>
      <c r="D122" s="11">
        <v>58</v>
      </c>
      <c r="E122" s="11" t="s">
        <v>53</v>
      </c>
      <c r="F122" s="12">
        <v>12.5</v>
      </c>
      <c r="G122" s="10"/>
      <c r="H122" s="20">
        <v>2.4</v>
      </c>
      <c r="I122" s="21">
        <f t="shared" si="4"/>
        <v>30</v>
      </c>
      <c r="J122" s="13" t="s">
        <v>165</v>
      </c>
      <c r="K122" s="13" t="s">
        <v>271</v>
      </c>
      <c r="L122" s="26"/>
      <c r="M122" s="26"/>
      <c r="N122" s="26"/>
    </row>
    <row r="123" spans="2:14" ht="18.75" x14ac:dyDescent="0.25">
      <c r="B123" s="13">
        <f t="shared" si="5"/>
        <v>113</v>
      </c>
      <c r="C123" s="10" t="s">
        <v>16</v>
      </c>
      <c r="D123" s="11">
        <v>57</v>
      </c>
      <c r="E123" s="11" t="s">
        <v>53</v>
      </c>
      <c r="F123" s="12">
        <v>12.5</v>
      </c>
      <c r="G123" s="10"/>
      <c r="H123" s="20">
        <v>2.4</v>
      </c>
      <c r="I123" s="21">
        <f t="shared" si="4"/>
        <v>30</v>
      </c>
      <c r="J123" s="13" t="s">
        <v>56</v>
      </c>
      <c r="K123" s="13" t="s">
        <v>227</v>
      </c>
      <c r="L123" s="26"/>
      <c r="M123" s="26"/>
      <c r="N123" s="26"/>
    </row>
    <row r="124" spans="2:14" ht="18.75" x14ac:dyDescent="0.25">
      <c r="B124" s="13">
        <f t="shared" si="5"/>
        <v>114</v>
      </c>
      <c r="C124" s="10" t="s">
        <v>16</v>
      </c>
      <c r="D124" s="11">
        <v>56</v>
      </c>
      <c r="E124" s="11" t="s">
        <v>53</v>
      </c>
      <c r="F124" s="12">
        <v>12.5</v>
      </c>
      <c r="G124" s="10"/>
      <c r="H124" s="20">
        <v>2.4</v>
      </c>
      <c r="I124" s="21">
        <f t="shared" si="4"/>
        <v>30</v>
      </c>
      <c r="J124" s="13" t="s">
        <v>103</v>
      </c>
      <c r="K124" s="13" t="s">
        <v>205</v>
      </c>
      <c r="L124" s="26"/>
      <c r="M124" s="26"/>
      <c r="N124" s="26"/>
    </row>
    <row r="125" spans="2:14" ht="18.75" x14ac:dyDescent="0.25">
      <c r="B125" s="13">
        <f t="shared" si="5"/>
        <v>115</v>
      </c>
      <c r="C125" s="10" t="s">
        <v>16</v>
      </c>
      <c r="D125" s="11">
        <v>55</v>
      </c>
      <c r="E125" s="11" t="s">
        <v>53</v>
      </c>
      <c r="F125" s="12">
        <v>12.5</v>
      </c>
      <c r="G125" s="10"/>
      <c r="H125" s="20">
        <v>2.4</v>
      </c>
      <c r="I125" s="21">
        <f t="shared" si="4"/>
        <v>30</v>
      </c>
      <c r="J125" s="13" t="s">
        <v>36</v>
      </c>
      <c r="K125" s="13" t="s">
        <v>213</v>
      </c>
      <c r="L125" s="26"/>
      <c r="M125" s="26"/>
      <c r="N125" s="26"/>
    </row>
    <row r="126" spans="2:14" ht="18.75" x14ac:dyDescent="0.25">
      <c r="B126" s="13">
        <f t="shared" si="5"/>
        <v>116</v>
      </c>
      <c r="C126" s="10" t="s">
        <v>16</v>
      </c>
      <c r="D126" s="11">
        <v>54</v>
      </c>
      <c r="E126" s="11" t="s">
        <v>53</v>
      </c>
      <c r="F126" s="12">
        <v>12.5</v>
      </c>
      <c r="G126" s="10"/>
      <c r="H126" s="20">
        <v>2.4</v>
      </c>
      <c r="I126" s="21">
        <f t="shared" si="4"/>
        <v>30</v>
      </c>
      <c r="J126" s="13" t="s">
        <v>57</v>
      </c>
      <c r="K126" s="13" t="s">
        <v>223</v>
      </c>
      <c r="L126" s="26"/>
      <c r="M126" s="26"/>
      <c r="N126" s="26"/>
    </row>
    <row r="127" spans="2:14" ht="18.75" x14ac:dyDescent="0.25">
      <c r="B127" s="13">
        <f t="shared" si="5"/>
        <v>117</v>
      </c>
      <c r="C127" s="10" t="s">
        <v>16</v>
      </c>
      <c r="D127" s="11">
        <v>53</v>
      </c>
      <c r="E127" s="11" t="s">
        <v>53</v>
      </c>
      <c r="F127" s="12">
        <v>12.5</v>
      </c>
      <c r="G127" s="10"/>
      <c r="H127" s="20">
        <v>2.4</v>
      </c>
      <c r="I127" s="21">
        <f t="shared" si="4"/>
        <v>30</v>
      </c>
      <c r="J127" s="13" t="s">
        <v>35</v>
      </c>
      <c r="K127" s="13" t="s">
        <v>217</v>
      </c>
      <c r="L127" s="26"/>
      <c r="M127" s="26"/>
      <c r="N127" s="26"/>
    </row>
    <row r="128" spans="2:14" ht="18.75" x14ac:dyDescent="0.25">
      <c r="B128" s="13">
        <f t="shared" si="5"/>
        <v>118</v>
      </c>
      <c r="C128" s="10" t="s">
        <v>16</v>
      </c>
      <c r="D128" s="11">
        <v>52</v>
      </c>
      <c r="E128" s="11" t="s">
        <v>53</v>
      </c>
      <c r="F128" s="12">
        <v>12.5</v>
      </c>
      <c r="G128" s="10"/>
      <c r="H128" s="20">
        <v>2.4</v>
      </c>
      <c r="I128" s="21">
        <f t="shared" si="4"/>
        <v>30</v>
      </c>
      <c r="J128" s="13" t="s">
        <v>35</v>
      </c>
      <c r="K128" s="13" t="s">
        <v>217</v>
      </c>
      <c r="L128" s="26"/>
      <c r="M128" s="26"/>
      <c r="N128" s="26"/>
    </row>
    <row r="129" spans="2:14" ht="18.75" x14ac:dyDescent="0.25">
      <c r="B129" s="13">
        <f t="shared" si="5"/>
        <v>119</v>
      </c>
      <c r="C129" s="10" t="s">
        <v>16</v>
      </c>
      <c r="D129" s="11">
        <v>51</v>
      </c>
      <c r="E129" s="11" t="s">
        <v>53</v>
      </c>
      <c r="F129" s="12">
        <v>12.5</v>
      </c>
      <c r="G129" s="10"/>
      <c r="H129" s="20">
        <v>2.4</v>
      </c>
      <c r="I129" s="21">
        <f t="shared" si="4"/>
        <v>30</v>
      </c>
      <c r="J129" s="13" t="s">
        <v>155</v>
      </c>
      <c r="K129" s="13" t="s">
        <v>236</v>
      </c>
      <c r="L129" s="26"/>
      <c r="M129" s="26"/>
      <c r="N129" s="26"/>
    </row>
    <row r="130" spans="2:14" ht="18.75" x14ac:dyDescent="0.25">
      <c r="B130" s="13">
        <f t="shared" si="5"/>
        <v>120</v>
      </c>
      <c r="C130" s="10" t="s">
        <v>16</v>
      </c>
      <c r="D130" s="11">
        <v>50</v>
      </c>
      <c r="E130" s="11" t="s">
        <v>53</v>
      </c>
      <c r="F130" s="12">
        <v>12.5</v>
      </c>
      <c r="G130" s="10"/>
      <c r="H130" s="20">
        <v>2.4</v>
      </c>
      <c r="I130" s="21">
        <f t="shared" si="4"/>
        <v>30</v>
      </c>
      <c r="J130" s="13" t="s">
        <v>172</v>
      </c>
      <c r="K130" s="13" t="s">
        <v>206</v>
      </c>
      <c r="L130" s="26"/>
      <c r="M130" s="26"/>
      <c r="N130" s="26"/>
    </row>
    <row r="131" spans="2:14" ht="18.75" x14ac:dyDescent="0.25">
      <c r="B131" s="13">
        <f t="shared" si="5"/>
        <v>121</v>
      </c>
      <c r="C131" s="10" t="s">
        <v>16</v>
      </c>
      <c r="D131" s="11">
        <v>49</v>
      </c>
      <c r="E131" s="11" t="s">
        <v>53</v>
      </c>
      <c r="F131" s="12">
        <v>12.5</v>
      </c>
      <c r="G131" s="10"/>
      <c r="H131" s="20">
        <v>2.4</v>
      </c>
      <c r="I131" s="21">
        <f t="shared" si="4"/>
        <v>30</v>
      </c>
      <c r="J131" s="13" t="s">
        <v>172</v>
      </c>
      <c r="K131" s="13" t="s">
        <v>206</v>
      </c>
    </row>
    <row r="132" spans="2:14" ht="18.75" x14ac:dyDescent="0.25">
      <c r="B132" s="13">
        <f t="shared" si="5"/>
        <v>122</v>
      </c>
      <c r="C132" s="10" t="s">
        <v>16</v>
      </c>
      <c r="D132" s="11">
        <v>48</v>
      </c>
      <c r="E132" s="11" t="s">
        <v>53</v>
      </c>
      <c r="F132" s="12">
        <v>12.5</v>
      </c>
      <c r="G132" s="10"/>
      <c r="H132" s="20">
        <v>2.4</v>
      </c>
      <c r="I132" s="21">
        <f t="shared" si="4"/>
        <v>30</v>
      </c>
      <c r="J132" s="13" t="s">
        <v>58</v>
      </c>
      <c r="K132" s="9" t="s">
        <v>203</v>
      </c>
    </row>
    <row r="133" spans="2:14" ht="18.75" x14ac:dyDescent="0.25">
      <c r="B133" s="13">
        <f t="shared" si="5"/>
        <v>123</v>
      </c>
      <c r="C133" s="10" t="s">
        <v>16</v>
      </c>
      <c r="D133" s="11">
        <v>47</v>
      </c>
      <c r="E133" s="11" t="s">
        <v>53</v>
      </c>
      <c r="F133" s="12">
        <v>12.5</v>
      </c>
      <c r="G133" s="10"/>
      <c r="H133" s="20">
        <v>2.4</v>
      </c>
      <c r="I133" s="21">
        <f t="shared" si="4"/>
        <v>30</v>
      </c>
      <c r="J133" s="13" t="s">
        <v>35</v>
      </c>
      <c r="K133" s="9" t="s">
        <v>247</v>
      </c>
    </row>
    <row r="134" spans="2:14" ht="18.75" x14ac:dyDescent="0.25">
      <c r="B134" s="13">
        <f t="shared" si="5"/>
        <v>124</v>
      </c>
      <c r="C134" s="10" t="s">
        <v>16</v>
      </c>
      <c r="D134" s="11">
        <v>46</v>
      </c>
      <c r="E134" s="11" t="s">
        <v>53</v>
      </c>
      <c r="F134" s="12">
        <v>12.5</v>
      </c>
      <c r="G134" s="10"/>
      <c r="H134" s="20">
        <v>2.4</v>
      </c>
      <c r="I134" s="21">
        <f t="shared" si="4"/>
        <v>30</v>
      </c>
      <c r="J134" s="13" t="s">
        <v>35</v>
      </c>
      <c r="K134" s="9" t="s">
        <v>218</v>
      </c>
    </row>
    <row r="135" spans="2:14" ht="18.75" x14ac:dyDescent="0.25">
      <c r="B135" s="13">
        <f t="shared" si="5"/>
        <v>125</v>
      </c>
      <c r="C135" s="10" t="s">
        <v>16</v>
      </c>
      <c r="D135" s="11">
        <v>45</v>
      </c>
      <c r="E135" s="11" t="s">
        <v>53</v>
      </c>
      <c r="F135" s="12">
        <v>12.5</v>
      </c>
      <c r="G135" s="10"/>
      <c r="H135" s="20">
        <v>2.4</v>
      </c>
      <c r="I135" s="21">
        <f t="shared" si="4"/>
        <v>30</v>
      </c>
      <c r="J135" s="13" t="s">
        <v>48</v>
      </c>
      <c r="K135" s="9" t="s">
        <v>200</v>
      </c>
    </row>
    <row r="136" spans="2:14" ht="18.75" x14ac:dyDescent="0.25">
      <c r="B136" s="13">
        <f t="shared" si="5"/>
        <v>126</v>
      </c>
      <c r="C136" s="10" t="s">
        <v>16</v>
      </c>
      <c r="D136" s="11">
        <v>44</v>
      </c>
      <c r="E136" s="11" t="s">
        <v>53</v>
      </c>
      <c r="F136" s="12">
        <v>12.5</v>
      </c>
      <c r="G136" s="10"/>
      <c r="H136" s="20">
        <v>2.4</v>
      </c>
      <c r="I136" s="21">
        <f t="shared" si="4"/>
        <v>30</v>
      </c>
      <c r="J136" s="13" t="s">
        <v>59</v>
      </c>
      <c r="K136" s="9" t="s">
        <v>253</v>
      </c>
    </row>
    <row r="137" spans="2:14" ht="18.75" x14ac:dyDescent="0.25">
      <c r="B137" s="13">
        <f t="shared" si="5"/>
        <v>127</v>
      </c>
      <c r="C137" s="10" t="s">
        <v>24</v>
      </c>
      <c r="D137" s="11" t="s">
        <v>60</v>
      </c>
      <c r="E137" s="11" t="s">
        <v>53</v>
      </c>
      <c r="F137" s="12">
        <v>20.27</v>
      </c>
      <c r="G137" s="10"/>
      <c r="H137" s="20">
        <v>2.4</v>
      </c>
      <c r="I137" s="21">
        <f t="shared" si="4"/>
        <v>48.647999999999996</v>
      </c>
      <c r="J137" s="13" t="s">
        <v>181</v>
      </c>
      <c r="K137" s="9" t="s">
        <v>219</v>
      </c>
    </row>
    <row r="138" spans="2:14" ht="18.75" x14ac:dyDescent="0.25">
      <c r="B138" s="13">
        <f t="shared" si="5"/>
        <v>128</v>
      </c>
      <c r="C138" s="10" t="s">
        <v>24</v>
      </c>
      <c r="D138" s="11" t="s">
        <v>61</v>
      </c>
      <c r="E138" s="11" t="s">
        <v>53</v>
      </c>
      <c r="F138" s="12">
        <v>20.61</v>
      </c>
      <c r="G138" s="10"/>
      <c r="H138" s="20">
        <v>2.4</v>
      </c>
      <c r="I138" s="21">
        <f t="shared" si="4"/>
        <v>49.463999999999999</v>
      </c>
      <c r="J138" s="13" t="s">
        <v>181</v>
      </c>
      <c r="K138" s="9" t="s">
        <v>219</v>
      </c>
    </row>
    <row r="139" spans="2:14" ht="18.75" x14ac:dyDescent="0.25">
      <c r="B139" s="13">
        <f t="shared" si="5"/>
        <v>129</v>
      </c>
      <c r="C139" s="10" t="s">
        <v>24</v>
      </c>
      <c r="D139" s="11" t="s">
        <v>62</v>
      </c>
      <c r="E139" s="11" t="s">
        <v>53</v>
      </c>
      <c r="F139" s="12">
        <v>20.399999999999999</v>
      </c>
      <c r="G139" s="10"/>
      <c r="H139" s="20">
        <v>2.4</v>
      </c>
      <c r="I139" s="21">
        <f t="shared" ref="I139:I202" si="9">F139*H139</f>
        <v>48.959999999999994</v>
      </c>
      <c r="J139" s="13" t="s">
        <v>192</v>
      </c>
      <c r="K139" s="17" t="s">
        <v>193</v>
      </c>
      <c r="L139" s="16">
        <f t="shared" ref="L139" si="10">+I139</f>
        <v>48.959999999999994</v>
      </c>
    </row>
    <row r="140" spans="2:14" ht="18.75" x14ac:dyDescent="0.25">
      <c r="B140" s="13">
        <f t="shared" si="5"/>
        <v>130</v>
      </c>
      <c r="C140" s="10" t="s">
        <v>24</v>
      </c>
      <c r="D140" s="11" t="s">
        <v>63</v>
      </c>
      <c r="E140" s="11" t="s">
        <v>53</v>
      </c>
      <c r="F140" s="12">
        <v>20.67</v>
      </c>
      <c r="G140" s="10"/>
      <c r="H140" s="20">
        <v>2.4</v>
      </c>
      <c r="I140" s="21">
        <f t="shared" si="9"/>
        <v>49.608000000000004</v>
      </c>
      <c r="J140" s="13" t="s">
        <v>192</v>
      </c>
      <c r="K140" s="9" t="s">
        <v>195</v>
      </c>
    </row>
    <row r="141" spans="2:14" ht="18.75" x14ac:dyDescent="0.3">
      <c r="B141" s="13">
        <f t="shared" ref="B141:B204" si="11">+B140+1</f>
        <v>131</v>
      </c>
      <c r="C141" s="19" t="s">
        <v>24</v>
      </c>
      <c r="D141" s="20" t="s">
        <v>64</v>
      </c>
      <c r="E141" s="20" t="s">
        <v>53</v>
      </c>
      <c r="F141" s="21">
        <v>23.39</v>
      </c>
      <c r="G141" s="19"/>
      <c r="H141" s="20">
        <v>2.4</v>
      </c>
      <c r="I141" s="21">
        <f t="shared" si="9"/>
        <v>56.136000000000003</v>
      </c>
      <c r="J141" s="22" t="s">
        <v>178</v>
      </c>
      <c r="K141" s="18" t="s">
        <v>210</v>
      </c>
      <c r="L141" s="23">
        <f>+I141</f>
        <v>56.136000000000003</v>
      </c>
      <c r="M141" s="24"/>
      <c r="N141" s="24"/>
    </row>
    <row r="142" spans="2:14" ht="18.75" x14ac:dyDescent="0.25">
      <c r="B142" s="13">
        <f t="shared" si="11"/>
        <v>132</v>
      </c>
      <c r="C142" s="10" t="s">
        <v>16</v>
      </c>
      <c r="D142" s="11">
        <v>38</v>
      </c>
      <c r="E142" s="11" t="s">
        <v>53</v>
      </c>
      <c r="F142" s="12">
        <v>12.5</v>
      </c>
      <c r="G142" s="10"/>
      <c r="H142" s="20">
        <v>2.4</v>
      </c>
      <c r="I142" s="21">
        <f t="shared" si="9"/>
        <v>30</v>
      </c>
      <c r="J142" s="13" t="s">
        <v>59</v>
      </c>
      <c r="K142" s="9" t="s">
        <v>253</v>
      </c>
    </row>
    <row r="143" spans="2:14" ht="18.75" x14ac:dyDescent="0.3">
      <c r="B143" s="13">
        <f t="shared" si="11"/>
        <v>133</v>
      </c>
      <c r="C143" s="19" t="s">
        <v>16</v>
      </c>
      <c r="D143" s="20">
        <v>37</v>
      </c>
      <c r="E143" s="20" t="s">
        <v>53</v>
      </c>
      <c r="F143" s="21">
        <v>12.5</v>
      </c>
      <c r="G143" s="19"/>
      <c r="H143" s="20">
        <v>2.4</v>
      </c>
      <c r="I143" s="21">
        <f t="shared" si="9"/>
        <v>30</v>
      </c>
      <c r="J143" s="22" t="s">
        <v>178</v>
      </c>
      <c r="K143" s="18" t="s">
        <v>209</v>
      </c>
      <c r="L143" s="23">
        <f>+I143</f>
        <v>30</v>
      </c>
      <c r="M143" s="24"/>
      <c r="N143" s="24"/>
    </row>
    <row r="144" spans="2:14" ht="18.75" x14ac:dyDescent="0.25">
      <c r="B144" s="13">
        <f t="shared" si="11"/>
        <v>134</v>
      </c>
      <c r="C144" s="10" t="s">
        <v>16</v>
      </c>
      <c r="D144" s="11">
        <v>36</v>
      </c>
      <c r="E144" s="11" t="s">
        <v>53</v>
      </c>
      <c r="F144" s="12">
        <v>25</v>
      </c>
      <c r="G144" s="10"/>
      <c r="H144" s="20">
        <v>2.4</v>
      </c>
      <c r="I144" s="21">
        <f t="shared" si="9"/>
        <v>60</v>
      </c>
      <c r="J144" s="13" t="s">
        <v>187</v>
      </c>
      <c r="K144" s="9" t="s">
        <v>248</v>
      </c>
    </row>
    <row r="145" spans="2:14" ht="18.75" x14ac:dyDescent="0.3">
      <c r="B145" s="13">
        <f t="shared" si="11"/>
        <v>135</v>
      </c>
      <c r="C145" s="10" t="s">
        <v>16</v>
      </c>
      <c r="D145" s="11">
        <v>35</v>
      </c>
      <c r="E145" s="11" t="s">
        <v>53</v>
      </c>
      <c r="F145" s="12">
        <v>12.5</v>
      </c>
      <c r="G145" s="10"/>
      <c r="H145" s="20">
        <v>2.4</v>
      </c>
      <c r="I145" s="21">
        <f t="shared" si="9"/>
        <v>30</v>
      </c>
      <c r="J145" s="13" t="s">
        <v>67</v>
      </c>
      <c r="K145" s="9" t="s">
        <v>220</v>
      </c>
      <c r="L145" s="23">
        <f t="shared" ref="L145" si="12">+I145</f>
        <v>30</v>
      </c>
      <c r="M145" s="24"/>
      <c r="N145" s="24"/>
    </row>
    <row r="146" spans="2:14" ht="18.75" x14ac:dyDescent="0.25">
      <c r="B146" s="13">
        <f t="shared" si="11"/>
        <v>136</v>
      </c>
      <c r="C146" s="10" t="s">
        <v>16</v>
      </c>
      <c r="D146" s="11">
        <v>34</v>
      </c>
      <c r="E146" s="11" t="s">
        <v>53</v>
      </c>
      <c r="F146" s="12">
        <v>12.5</v>
      </c>
      <c r="G146" s="10"/>
      <c r="H146" s="20">
        <v>2.4</v>
      </c>
      <c r="I146" s="21">
        <f t="shared" si="9"/>
        <v>30</v>
      </c>
      <c r="J146" s="13" t="s">
        <v>65</v>
      </c>
      <c r="K146" s="9" t="s">
        <v>194</v>
      </c>
    </row>
    <row r="147" spans="2:14" ht="18.75" x14ac:dyDescent="0.25">
      <c r="B147" s="13">
        <f t="shared" si="11"/>
        <v>137</v>
      </c>
      <c r="C147" s="10" t="s">
        <v>16</v>
      </c>
      <c r="D147" s="11">
        <v>33</v>
      </c>
      <c r="E147" s="11" t="s">
        <v>53</v>
      </c>
      <c r="F147" s="12">
        <v>12.5</v>
      </c>
      <c r="G147" s="10"/>
      <c r="H147" s="20">
        <v>2.4</v>
      </c>
      <c r="I147" s="21">
        <f t="shared" si="9"/>
        <v>30</v>
      </c>
      <c r="J147" s="13" t="s">
        <v>66</v>
      </c>
      <c r="K147" s="9" t="s">
        <v>198</v>
      </c>
    </row>
    <row r="148" spans="2:14" ht="18.75" x14ac:dyDescent="0.25">
      <c r="B148" s="13">
        <f t="shared" si="11"/>
        <v>138</v>
      </c>
      <c r="C148" s="10" t="s">
        <v>16</v>
      </c>
      <c r="D148" s="11">
        <v>32</v>
      </c>
      <c r="E148" s="11" t="s">
        <v>53</v>
      </c>
      <c r="F148" s="12">
        <v>12.5</v>
      </c>
      <c r="G148" s="10"/>
      <c r="H148" s="20">
        <v>2.4</v>
      </c>
      <c r="I148" s="21">
        <f t="shared" si="9"/>
        <v>30</v>
      </c>
      <c r="J148" s="13" t="s">
        <v>158</v>
      </c>
      <c r="K148" s="9" t="s">
        <v>244</v>
      </c>
    </row>
    <row r="149" spans="2:14" ht="18.75" x14ac:dyDescent="0.3">
      <c r="B149" s="13">
        <f t="shared" si="11"/>
        <v>139</v>
      </c>
      <c r="C149" s="19" t="s">
        <v>34</v>
      </c>
      <c r="D149" s="20">
        <v>39</v>
      </c>
      <c r="E149" s="20" t="s">
        <v>53</v>
      </c>
      <c r="F149" s="21">
        <v>5.91</v>
      </c>
      <c r="G149" s="19"/>
      <c r="H149" s="20">
        <v>2.4</v>
      </c>
      <c r="I149" s="21">
        <f t="shared" si="9"/>
        <v>14.183999999999999</v>
      </c>
      <c r="J149" s="22" t="s">
        <v>15</v>
      </c>
      <c r="K149" s="22" t="s">
        <v>52</v>
      </c>
      <c r="L149" s="23">
        <f t="shared" ref="L149:L152" si="13">+I149</f>
        <v>14.183999999999999</v>
      </c>
      <c r="M149" s="24"/>
      <c r="N149" s="24"/>
    </row>
    <row r="150" spans="2:14" ht="18.75" x14ac:dyDescent="0.3">
      <c r="B150" s="13">
        <f t="shared" si="11"/>
        <v>140</v>
      </c>
      <c r="C150" s="19" t="s">
        <v>34</v>
      </c>
      <c r="D150" s="20">
        <v>38</v>
      </c>
      <c r="E150" s="20" t="s">
        <v>53</v>
      </c>
      <c r="F150" s="21">
        <v>5.8</v>
      </c>
      <c r="G150" s="19"/>
      <c r="H150" s="20">
        <v>2.4</v>
      </c>
      <c r="I150" s="21">
        <f t="shared" si="9"/>
        <v>13.92</v>
      </c>
      <c r="J150" s="22" t="s">
        <v>15</v>
      </c>
      <c r="K150" s="22" t="s">
        <v>52</v>
      </c>
      <c r="L150" s="23">
        <f t="shared" si="13"/>
        <v>13.92</v>
      </c>
      <c r="M150" s="24"/>
      <c r="N150" s="24"/>
    </row>
    <row r="151" spans="2:14" ht="18.75" x14ac:dyDescent="0.3">
      <c r="B151" s="13">
        <f t="shared" si="11"/>
        <v>141</v>
      </c>
      <c r="C151" s="19" t="s">
        <v>34</v>
      </c>
      <c r="D151" s="20">
        <v>37</v>
      </c>
      <c r="E151" s="20" t="s">
        <v>53</v>
      </c>
      <c r="F151" s="21">
        <v>21.17</v>
      </c>
      <c r="G151" s="19"/>
      <c r="H151" s="20">
        <v>2.4</v>
      </c>
      <c r="I151" s="21">
        <f t="shared" si="9"/>
        <v>50.808</v>
      </c>
      <c r="J151" s="22" t="s">
        <v>15</v>
      </c>
      <c r="K151" s="22" t="s">
        <v>52</v>
      </c>
      <c r="L151" s="23">
        <f t="shared" si="13"/>
        <v>50.808</v>
      </c>
      <c r="M151" s="24"/>
      <c r="N151" s="24"/>
    </row>
    <row r="152" spans="2:14" ht="18.75" x14ac:dyDescent="0.3">
      <c r="B152" s="13">
        <f t="shared" si="11"/>
        <v>142</v>
      </c>
      <c r="C152" s="19" t="s">
        <v>34</v>
      </c>
      <c r="D152" s="20">
        <v>36</v>
      </c>
      <c r="E152" s="20" t="s">
        <v>53</v>
      </c>
      <c r="F152" s="21">
        <v>5.27</v>
      </c>
      <c r="G152" s="19"/>
      <c r="H152" s="20">
        <v>2.4</v>
      </c>
      <c r="I152" s="21">
        <f t="shared" si="9"/>
        <v>12.647999999999998</v>
      </c>
      <c r="J152" s="22" t="s">
        <v>15</v>
      </c>
      <c r="K152" s="22" t="s">
        <v>52</v>
      </c>
      <c r="L152" s="23">
        <f t="shared" si="13"/>
        <v>12.647999999999998</v>
      </c>
      <c r="M152" s="24"/>
      <c r="N152" s="24"/>
    </row>
    <row r="153" spans="2:14" ht="18.75" x14ac:dyDescent="0.25">
      <c r="B153" s="13">
        <f t="shared" si="11"/>
        <v>143</v>
      </c>
      <c r="C153" s="10" t="s">
        <v>34</v>
      </c>
      <c r="D153" s="11">
        <v>35</v>
      </c>
      <c r="E153" s="11" t="s">
        <v>53</v>
      </c>
      <c r="F153" s="12">
        <v>4.82</v>
      </c>
      <c r="G153" s="10"/>
      <c r="H153" s="20">
        <v>2.4</v>
      </c>
      <c r="I153" s="21">
        <f t="shared" si="9"/>
        <v>11.568</v>
      </c>
      <c r="J153" s="13" t="s">
        <v>67</v>
      </c>
      <c r="K153" s="9" t="s">
        <v>220</v>
      </c>
    </row>
    <row r="154" spans="2:14" ht="18.75" x14ac:dyDescent="0.25">
      <c r="B154" s="13">
        <f t="shared" si="11"/>
        <v>144</v>
      </c>
      <c r="C154" s="10" t="s">
        <v>34</v>
      </c>
      <c r="D154" s="11">
        <v>34</v>
      </c>
      <c r="E154" s="11" t="s">
        <v>53</v>
      </c>
      <c r="F154" s="12">
        <v>4.74</v>
      </c>
      <c r="G154" s="10"/>
      <c r="H154" s="20">
        <v>2.4</v>
      </c>
      <c r="I154" s="21">
        <f t="shared" si="9"/>
        <v>11.375999999999999</v>
      </c>
      <c r="J154" s="13" t="s">
        <v>155</v>
      </c>
      <c r="K154" s="9" t="s">
        <v>236</v>
      </c>
    </row>
    <row r="155" spans="2:14" ht="18.75" x14ac:dyDescent="0.25">
      <c r="B155" s="13">
        <f t="shared" si="11"/>
        <v>145</v>
      </c>
      <c r="C155" s="10" t="s">
        <v>34</v>
      </c>
      <c r="D155" s="11">
        <v>33</v>
      </c>
      <c r="E155" s="11" t="s">
        <v>53</v>
      </c>
      <c r="F155" s="12">
        <v>4.32</v>
      </c>
      <c r="G155" s="10"/>
      <c r="H155" s="20">
        <v>2.4</v>
      </c>
      <c r="I155" s="21">
        <f t="shared" si="9"/>
        <v>10.368</v>
      </c>
      <c r="J155" s="13" t="s">
        <v>54</v>
      </c>
      <c r="K155" s="9" t="s">
        <v>237</v>
      </c>
    </row>
    <row r="156" spans="2:14" ht="18.75" x14ac:dyDescent="0.25">
      <c r="B156" s="13">
        <f t="shared" si="11"/>
        <v>146</v>
      </c>
      <c r="C156" s="10" t="s">
        <v>34</v>
      </c>
      <c r="D156" s="11">
        <v>32</v>
      </c>
      <c r="E156" s="11" t="s">
        <v>53</v>
      </c>
      <c r="F156" s="12">
        <v>4.74</v>
      </c>
      <c r="G156" s="10"/>
      <c r="H156" s="20">
        <v>2.4</v>
      </c>
      <c r="I156" s="21">
        <f t="shared" si="9"/>
        <v>11.375999999999999</v>
      </c>
      <c r="J156" s="13" t="s">
        <v>77</v>
      </c>
      <c r="K156" s="9" t="s">
        <v>201</v>
      </c>
    </row>
    <row r="157" spans="2:14" ht="18.75" x14ac:dyDescent="0.3">
      <c r="B157" s="13">
        <f t="shared" si="11"/>
        <v>147</v>
      </c>
      <c r="C157" s="19" t="s">
        <v>34</v>
      </c>
      <c r="D157" s="20">
        <v>31</v>
      </c>
      <c r="E157" s="20" t="s">
        <v>53</v>
      </c>
      <c r="F157" s="21">
        <v>4.32</v>
      </c>
      <c r="G157" s="19"/>
      <c r="H157" s="20">
        <v>2.4</v>
      </c>
      <c r="I157" s="21">
        <f t="shared" si="9"/>
        <v>10.368</v>
      </c>
      <c r="J157" s="22" t="s">
        <v>15</v>
      </c>
      <c r="K157" s="22" t="s">
        <v>15</v>
      </c>
      <c r="L157" s="23">
        <f t="shared" ref="L157:L158" si="14">+I157</f>
        <v>10.368</v>
      </c>
      <c r="M157" s="24"/>
      <c r="N157" s="24"/>
    </row>
    <row r="158" spans="2:14" ht="18.75" x14ac:dyDescent="0.3">
      <c r="B158" s="13">
        <f t="shared" si="11"/>
        <v>148</v>
      </c>
      <c r="C158" s="19" t="s">
        <v>34</v>
      </c>
      <c r="D158" s="20">
        <v>30</v>
      </c>
      <c r="E158" s="20" t="s">
        <v>53</v>
      </c>
      <c r="F158" s="21">
        <v>5.34</v>
      </c>
      <c r="G158" s="19"/>
      <c r="H158" s="20">
        <v>2.4</v>
      </c>
      <c r="I158" s="21">
        <f t="shared" si="9"/>
        <v>12.815999999999999</v>
      </c>
      <c r="J158" s="22" t="s">
        <v>15</v>
      </c>
      <c r="K158" s="22" t="s">
        <v>15</v>
      </c>
      <c r="L158" s="23">
        <f t="shared" si="14"/>
        <v>12.815999999999999</v>
      </c>
      <c r="M158" s="24"/>
      <c r="N158" s="24"/>
    </row>
    <row r="159" spans="2:14" ht="18.75" x14ac:dyDescent="0.25">
      <c r="B159" s="13">
        <f t="shared" si="11"/>
        <v>149</v>
      </c>
      <c r="C159" s="10" t="s">
        <v>34</v>
      </c>
      <c r="D159" s="11">
        <v>29</v>
      </c>
      <c r="E159" s="11" t="s">
        <v>53</v>
      </c>
      <c r="F159" s="12">
        <v>4.7</v>
      </c>
      <c r="G159" s="10"/>
      <c r="H159" s="20">
        <v>2.4</v>
      </c>
      <c r="I159" s="21">
        <f t="shared" si="9"/>
        <v>11.28</v>
      </c>
      <c r="J159" s="13" t="s">
        <v>68</v>
      </c>
      <c r="K159" s="9" t="s">
        <v>239</v>
      </c>
    </row>
    <row r="160" spans="2:14" ht="18.75" x14ac:dyDescent="0.25">
      <c r="B160" s="13">
        <f t="shared" si="11"/>
        <v>150</v>
      </c>
      <c r="C160" s="10" t="s">
        <v>34</v>
      </c>
      <c r="D160" s="11">
        <v>28</v>
      </c>
      <c r="E160" s="11" t="s">
        <v>53</v>
      </c>
      <c r="F160" s="12">
        <v>7.8</v>
      </c>
      <c r="G160" s="10"/>
      <c r="H160" s="20">
        <v>2.4</v>
      </c>
      <c r="I160" s="21">
        <f t="shared" si="9"/>
        <v>18.72</v>
      </c>
      <c r="J160" s="13" t="s">
        <v>55</v>
      </c>
      <c r="K160" s="9" t="s">
        <v>219</v>
      </c>
    </row>
    <row r="161" spans="2:14" ht="18.75" x14ac:dyDescent="0.25">
      <c r="B161" s="13">
        <f t="shared" si="11"/>
        <v>151</v>
      </c>
      <c r="C161" s="10" t="s">
        <v>34</v>
      </c>
      <c r="D161" s="11">
        <v>27</v>
      </c>
      <c r="E161" s="11" t="s">
        <v>53</v>
      </c>
      <c r="F161" s="12">
        <v>9.2799999999999994</v>
      </c>
      <c r="G161" s="10"/>
      <c r="H161" s="20">
        <v>2.4</v>
      </c>
      <c r="I161" s="21">
        <f t="shared" si="9"/>
        <v>22.271999999999998</v>
      </c>
      <c r="J161" s="13" t="s">
        <v>158</v>
      </c>
      <c r="K161" s="9" t="s">
        <v>244</v>
      </c>
    </row>
    <row r="162" spans="2:14" ht="18.75" x14ac:dyDescent="0.25">
      <c r="B162" s="13">
        <f t="shared" si="11"/>
        <v>152</v>
      </c>
      <c r="C162" s="10" t="s">
        <v>34</v>
      </c>
      <c r="D162" s="11">
        <v>26</v>
      </c>
      <c r="E162" s="11" t="s">
        <v>53</v>
      </c>
      <c r="F162" s="12">
        <v>4.1500000000000004</v>
      </c>
      <c r="G162" s="10"/>
      <c r="H162" s="20">
        <v>2.4</v>
      </c>
      <c r="I162" s="21">
        <f t="shared" si="9"/>
        <v>9.9600000000000009</v>
      </c>
      <c r="J162" s="13" t="s">
        <v>78</v>
      </c>
      <c r="K162" s="9" t="s">
        <v>197</v>
      </c>
    </row>
    <row r="163" spans="2:14" ht="18.75" x14ac:dyDescent="0.3">
      <c r="B163" s="13">
        <f t="shared" si="11"/>
        <v>153</v>
      </c>
      <c r="C163" s="10" t="s">
        <v>34</v>
      </c>
      <c r="D163" s="11">
        <v>25</v>
      </c>
      <c r="E163" s="11" t="s">
        <v>53</v>
      </c>
      <c r="F163" s="12">
        <v>4.76</v>
      </c>
      <c r="G163" s="10"/>
      <c r="H163" s="20">
        <v>2.4</v>
      </c>
      <c r="I163" s="21">
        <f t="shared" si="9"/>
        <v>11.423999999999999</v>
      </c>
      <c r="J163" s="13" t="s">
        <v>158</v>
      </c>
      <c r="K163" s="9" t="s">
        <v>262</v>
      </c>
      <c r="L163" s="23">
        <f t="shared" ref="L163:L165" si="15">+I163</f>
        <v>11.423999999999999</v>
      </c>
      <c r="M163" s="24"/>
      <c r="N163" s="24"/>
    </row>
    <row r="164" spans="2:14" ht="18.75" x14ac:dyDescent="0.25">
      <c r="B164" s="13">
        <f t="shared" si="11"/>
        <v>154</v>
      </c>
      <c r="C164" s="10" t="s">
        <v>34</v>
      </c>
      <c r="D164" s="11">
        <v>24</v>
      </c>
      <c r="E164" s="11" t="s">
        <v>53</v>
      </c>
      <c r="F164" s="12">
        <v>4.03</v>
      </c>
      <c r="G164" s="10"/>
      <c r="H164" s="20">
        <v>2.4</v>
      </c>
      <c r="I164" s="21">
        <f t="shared" si="9"/>
        <v>9.6720000000000006</v>
      </c>
      <c r="J164" s="13" t="s">
        <v>176</v>
      </c>
      <c r="K164" s="9" t="s">
        <v>212</v>
      </c>
    </row>
    <row r="165" spans="2:14" ht="18.75" x14ac:dyDescent="0.3">
      <c r="B165" s="13">
        <f t="shared" si="11"/>
        <v>155</v>
      </c>
      <c r="C165" s="19" t="s">
        <v>34</v>
      </c>
      <c r="D165" s="20">
        <v>23</v>
      </c>
      <c r="E165" s="20" t="s">
        <v>53</v>
      </c>
      <c r="F165" s="21">
        <v>4.1900000000000004</v>
      </c>
      <c r="G165" s="19"/>
      <c r="H165" s="20">
        <v>2.4</v>
      </c>
      <c r="I165" s="21">
        <f t="shared" si="9"/>
        <v>10.056000000000001</v>
      </c>
      <c r="J165" s="22" t="s">
        <v>15</v>
      </c>
      <c r="K165" s="22" t="s">
        <v>15</v>
      </c>
      <c r="L165" s="23">
        <f t="shared" si="15"/>
        <v>10.056000000000001</v>
      </c>
      <c r="M165" s="24"/>
      <c r="N165" s="24"/>
    </row>
    <row r="166" spans="2:14" ht="18.75" x14ac:dyDescent="0.25">
      <c r="B166" s="13">
        <f t="shared" si="11"/>
        <v>156</v>
      </c>
      <c r="C166" s="10" t="s">
        <v>34</v>
      </c>
      <c r="D166" s="11">
        <v>22</v>
      </c>
      <c r="E166" s="11" t="s">
        <v>53</v>
      </c>
      <c r="F166" s="12">
        <v>4.88</v>
      </c>
      <c r="G166" s="10"/>
      <c r="H166" s="20">
        <v>2.4</v>
      </c>
      <c r="I166" s="21">
        <f t="shared" si="9"/>
        <v>11.712</v>
      </c>
      <c r="J166" s="13" t="s">
        <v>154</v>
      </c>
      <c r="K166" s="9" t="s">
        <v>257</v>
      </c>
    </row>
    <row r="167" spans="2:14" ht="18.75" x14ac:dyDescent="0.25">
      <c r="B167" s="13">
        <f t="shared" si="11"/>
        <v>157</v>
      </c>
      <c r="C167" s="10" t="s">
        <v>34</v>
      </c>
      <c r="D167" s="11">
        <v>21</v>
      </c>
      <c r="E167" s="11" t="s">
        <v>53</v>
      </c>
      <c r="F167" s="12">
        <v>4.7</v>
      </c>
      <c r="G167" s="10"/>
      <c r="H167" s="20">
        <v>2.4</v>
      </c>
      <c r="I167" s="21">
        <f t="shared" si="9"/>
        <v>11.28</v>
      </c>
      <c r="J167" s="13" t="s">
        <v>101</v>
      </c>
      <c r="K167" s="9" t="s">
        <v>211</v>
      </c>
    </row>
    <row r="168" spans="2:14" ht="18.75" x14ac:dyDescent="0.25">
      <c r="B168" s="13">
        <f t="shared" si="11"/>
        <v>158</v>
      </c>
      <c r="C168" s="10" t="s">
        <v>34</v>
      </c>
      <c r="D168" s="11">
        <v>20</v>
      </c>
      <c r="E168" s="11" t="s">
        <v>53</v>
      </c>
      <c r="F168" s="12">
        <v>6.13</v>
      </c>
      <c r="G168" s="10"/>
      <c r="H168" s="20">
        <v>2.4</v>
      </c>
      <c r="I168" s="21">
        <f t="shared" si="9"/>
        <v>14.712</v>
      </c>
      <c r="J168" s="13" t="s">
        <v>101</v>
      </c>
      <c r="K168" s="9" t="s">
        <v>211</v>
      </c>
    </row>
    <row r="169" spans="2:14" ht="18.75" x14ac:dyDescent="0.25">
      <c r="B169" s="13">
        <f t="shared" si="11"/>
        <v>159</v>
      </c>
      <c r="C169" s="10" t="s">
        <v>34</v>
      </c>
      <c r="D169" s="11">
        <v>19</v>
      </c>
      <c r="E169" s="11" t="s">
        <v>53</v>
      </c>
      <c r="F169" s="12">
        <v>5.51</v>
      </c>
      <c r="G169" s="10"/>
      <c r="H169" s="20">
        <v>2.4</v>
      </c>
      <c r="I169" s="21">
        <f t="shared" si="9"/>
        <v>13.223999999999998</v>
      </c>
      <c r="J169" s="13" t="s">
        <v>101</v>
      </c>
      <c r="K169" s="9" t="s">
        <v>211</v>
      </c>
    </row>
    <row r="170" spans="2:14" ht="18.75" x14ac:dyDescent="0.25">
      <c r="B170" s="13">
        <f t="shared" si="11"/>
        <v>160</v>
      </c>
      <c r="C170" s="10" t="s">
        <v>34</v>
      </c>
      <c r="D170" s="11">
        <v>18</v>
      </c>
      <c r="E170" s="11" t="s">
        <v>53</v>
      </c>
      <c r="F170" s="12">
        <v>5.5</v>
      </c>
      <c r="G170" s="10"/>
      <c r="H170" s="20">
        <v>2.4</v>
      </c>
      <c r="I170" s="21">
        <f t="shared" si="9"/>
        <v>13.2</v>
      </c>
      <c r="J170" s="13" t="s">
        <v>101</v>
      </c>
      <c r="K170" s="9" t="s">
        <v>211</v>
      </c>
    </row>
    <row r="171" spans="2:14" ht="18.75" x14ac:dyDescent="0.25">
      <c r="B171" s="13">
        <f t="shared" si="11"/>
        <v>161</v>
      </c>
      <c r="C171" s="10" t="s">
        <v>34</v>
      </c>
      <c r="D171" s="11">
        <v>17</v>
      </c>
      <c r="E171" s="11" t="s">
        <v>53</v>
      </c>
      <c r="F171" s="12">
        <v>5.49</v>
      </c>
      <c r="G171" s="10"/>
      <c r="H171" s="20">
        <v>2.4</v>
      </c>
      <c r="I171" s="21">
        <f t="shared" si="9"/>
        <v>13.176</v>
      </c>
      <c r="J171" s="13" t="s">
        <v>59</v>
      </c>
      <c r="K171" s="9" t="s">
        <v>253</v>
      </c>
    </row>
    <row r="172" spans="2:14" ht="18.75" x14ac:dyDescent="0.25">
      <c r="B172" s="13">
        <f t="shared" si="11"/>
        <v>162</v>
      </c>
      <c r="C172" s="10" t="s">
        <v>34</v>
      </c>
      <c r="D172" s="11">
        <v>16</v>
      </c>
      <c r="E172" s="11" t="s">
        <v>53</v>
      </c>
      <c r="F172" s="12">
        <v>5.84</v>
      </c>
      <c r="G172" s="10"/>
      <c r="H172" s="20">
        <v>2.4</v>
      </c>
      <c r="I172" s="21">
        <f t="shared" si="9"/>
        <v>14.016</v>
      </c>
      <c r="J172" s="13" t="s">
        <v>48</v>
      </c>
      <c r="K172" s="9" t="s">
        <v>199</v>
      </c>
    </row>
    <row r="173" spans="2:14" ht="18.75" x14ac:dyDescent="0.25">
      <c r="B173" s="13">
        <f t="shared" si="11"/>
        <v>163</v>
      </c>
      <c r="C173" s="10" t="s">
        <v>34</v>
      </c>
      <c r="D173" s="11">
        <v>10</v>
      </c>
      <c r="E173" s="11" t="s">
        <v>53</v>
      </c>
      <c r="F173" s="12">
        <v>9.35</v>
      </c>
      <c r="G173" s="10"/>
      <c r="H173" s="20">
        <v>2.4</v>
      </c>
      <c r="I173" s="21">
        <f t="shared" si="9"/>
        <v>22.439999999999998</v>
      </c>
      <c r="J173" s="13" t="s">
        <v>48</v>
      </c>
      <c r="K173" s="9" t="s">
        <v>200</v>
      </c>
    </row>
    <row r="174" spans="2:14" ht="18.75" x14ac:dyDescent="0.3">
      <c r="B174" s="13">
        <f t="shared" si="11"/>
        <v>164</v>
      </c>
      <c r="C174" s="19" t="s">
        <v>12</v>
      </c>
      <c r="D174" s="20">
        <v>1</v>
      </c>
      <c r="E174" s="20" t="s">
        <v>69</v>
      </c>
      <c r="F174" s="20">
        <v>325</v>
      </c>
      <c r="G174" s="25">
        <v>325</v>
      </c>
      <c r="H174" s="20">
        <v>2.4</v>
      </c>
      <c r="I174" s="21">
        <f t="shared" si="9"/>
        <v>780</v>
      </c>
      <c r="J174" s="22" t="s">
        <v>15</v>
      </c>
      <c r="K174" s="22" t="s">
        <v>15</v>
      </c>
      <c r="L174" s="23">
        <f t="shared" ref="L174" si="16">+I174</f>
        <v>780</v>
      </c>
      <c r="M174" s="24"/>
      <c r="N174" s="24"/>
    </row>
    <row r="175" spans="2:14" ht="18.75" x14ac:dyDescent="0.25">
      <c r="B175" s="61">
        <f t="shared" si="11"/>
        <v>165</v>
      </c>
      <c r="C175" s="57" t="s">
        <v>70</v>
      </c>
      <c r="D175" s="58">
        <v>1</v>
      </c>
      <c r="E175" s="58" t="s">
        <v>71</v>
      </c>
      <c r="F175" s="58">
        <v>18.25</v>
      </c>
      <c r="G175" s="57"/>
      <c r="H175" s="58">
        <v>4.2</v>
      </c>
      <c r="I175" s="60">
        <f t="shared" si="9"/>
        <v>76.650000000000006</v>
      </c>
      <c r="J175" s="61" t="s">
        <v>44</v>
      </c>
      <c r="K175" s="61" t="s">
        <v>267</v>
      </c>
    </row>
    <row r="176" spans="2:14" ht="18.75" x14ac:dyDescent="0.25">
      <c r="B176" s="61">
        <f t="shared" si="11"/>
        <v>166</v>
      </c>
      <c r="C176" s="57" t="s">
        <v>70</v>
      </c>
      <c r="D176" s="58">
        <v>2</v>
      </c>
      <c r="E176" s="58" t="s">
        <v>71</v>
      </c>
      <c r="F176" s="59">
        <v>19.920000000000002</v>
      </c>
      <c r="G176" s="57"/>
      <c r="H176" s="58">
        <v>4.2</v>
      </c>
      <c r="I176" s="60">
        <f t="shared" si="9"/>
        <v>83.664000000000016</v>
      </c>
      <c r="J176" t="s">
        <v>192</v>
      </c>
      <c r="K176" s="61" t="s">
        <v>267</v>
      </c>
    </row>
    <row r="177" spans="2:14" ht="18.75" x14ac:dyDescent="0.25">
      <c r="B177" s="61">
        <f t="shared" si="11"/>
        <v>167</v>
      </c>
      <c r="C177" s="57" t="s">
        <v>70</v>
      </c>
      <c r="D177" s="58">
        <v>3</v>
      </c>
      <c r="E177" s="58" t="s">
        <v>71</v>
      </c>
      <c r="F177" s="59">
        <v>29.09</v>
      </c>
      <c r="G177" s="57"/>
      <c r="H177" s="58">
        <v>4.2</v>
      </c>
      <c r="I177" s="60">
        <f t="shared" si="9"/>
        <v>122.17800000000001</v>
      </c>
      <c r="J177" s="61" t="s">
        <v>161</v>
      </c>
      <c r="K177" s="61" t="s">
        <v>267</v>
      </c>
    </row>
    <row r="178" spans="2:14" ht="18.75" x14ac:dyDescent="0.25">
      <c r="B178" s="61">
        <f t="shared" si="11"/>
        <v>168</v>
      </c>
      <c r="C178" s="57" t="s">
        <v>70</v>
      </c>
      <c r="D178" s="58">
        <v>4</v>
      </c>
      <c r="E178" s="58" t="s">
        <v>71</v>
      </c>
      <c r="F178" s="59">
        <v>28.84</v>
      </c>
      <c r="G178" s="57"/>
      <c r="H178" s="58">
        <v>4.2</v>
      </c>
      <c r="I178" s="60">
        <f t="shared" si="9"/>
        <v>121.128</v>
      </c>
      <c r="J178" s="61" t="s">
        <v>162</v>
      </c>
      <c r="K178" s="61" t="s">
        <v>267</v>
      </c>
    </row>
    <row r="179" spans="2:14" ht="18.75" x14ac:dyDescent="0.25">
      <c r="B179" s="61">
        <f t="shared" si="11"/>
        <v>169</v>
      </c>
      <c r="C179" s="57" t="s">
        <v>70</v>
      </c>
      <c r="D179" s="58">
        <v>5</v>
      </c>
      <c r="E179" s="58" t="s">
        <v>71</v>
      </c>
      <c r="F179" s="59">
        <v>28.82</v>
      </c>
      <c r="G179" s="57"/>
      <c r="H179" s="58">
        <v>4.2</v>
      </c>
      <c r="I179" s="60">
        <f t="shared" si="9"/>
        <v>121.04400000000001</v>
      </c>
      <c r="J179" s="61" t="s">
        <v>163</v>
      </c>
      <c r="K179" s="61" t="s">
        <v>267</v>
      </c>
    </row>
    <row r="180" spans="2:14" ht="18.75" x14ac:dyDescent="0.25">
      <c r="B180" s="61">
        <f t="shared" si="11"/>
        <v>170</v>
      </c>
      <c r="C180" s="57" t="s">
        <v>70</v>
      </c>
      <c r="D180" s="58">
        <v>6</v>
      </c>
      <c r="E180" s="58" t="s">
        <v>71</v>
      </c>
      <c r="F180" s="59">
        <v>30.77</v>
      </c>
      <c r="G180" s="57"/>
      <c r="H180" s="58">
        <v>4.2</v>
      </c>
      <c r="I180" s="60">
        <f t="shared" si="9"/>
        <v>129.23400000000001</v>
      </c>
      <c r="J180" s="61" t="s">
        <v>158</v>
      </c>
      <c r="K180" s="61" t="s">
        <v>267</v>
      </c>
    </row>
    <row r="181" spans="2:14" ht="18.75" x14ac:dyDescent="0.25">
      <c r="B181" s="61">
        <f t="shared" si="11"/>
        <v>171</v>
      </c>
      <c r="C181" s="57" t="s">
        <v>70</v>
      </c>
      <c r="D181" s="58">
        <v>7</v>
      </c>
      <c r="E181" s="58" t="s">
        <v>71</v>
      </c>
      <c r="F181" s="59">
        <v>21.13</v>
      </c>
      <c r="G181" s="57"/>
      <c r="H181" s="58">
        <v>4.2</v>
      </c>
      <c r="I181" s="60">
        <f t="shared" si="9"/>
        <v>88.745999999999995</v>
      </c>
      <c r="J181" s="61" t="s">
        <v>48</v>
      </c>
      <c r="K181" s="61" t="s">
        <v>267</v>
      </c>
    </row>
    <row r="182" spans="2:14" ht="18.75" x14ac:dyDescent="0.25">
      <c r="B182" s="61">
        <f t="shared" si="11"/>
        <v>172</v>
      </c>
      <c r="C182" s="57" t="s">
        <v>70</v>
      </c>
      <c r="D182" s="58">
        <v>8</v>
      </c>
      <c r="E182" s="58" t="s">
        <v>71</v>
      </c>
      <c r="F182" s="59">
        <v>19.37</v>
      </c>
      <c r="G182" s="57"/>
      <c r="H182" s="58">
        <v>4.2</v>
      </c>
      <c r="I182" s="60">
        <f t="shared" si="9"/>
        <v>81.354000000000013</v>
      </c>
      <c r="J182" s="61" t="s">
        <v>72</v>
      </c>
      <c r="K182" s="61" t="s">
        <v>267</v>
      </c>
    </row>
    <row r="183" spans="2:14" ht="18.75" x14ac:dyDescent="0.25">
      <c r="B183" s="61">
        <f t="shared" si="11"/>
        <v>173</v>
      </c>
      <c r="C183" s="57" t="s">
        <v>70</v>
      </c>
      <c r="D183" s="58">
        <v>9</v>
      </c>
      <c r="E183" s="58" t="s">
        <v>71</v>
      </c>
      <c r="F183" s="59">
        <v>21.44</v>
      </c>
      <c r="G183" s="57"/>
      <c r="H183" s="58">
        <v>4.2</v>
      </c>
      <c r="I183" s="60">
        <f t="shared" si="9"/>
        <v>90.048000000000016</v>
      </c>
      <c r="J183" s="61" t="s">
        <v>73</v>
      </c>
      <c r="K183" s="61" t="s">
        <v>267</v>
      </c>
    </row>
    <row r="184" spans="2:14" ht="18.75" x14ac:dyDescent="0.25">
      <c r="B184" s="61">
        <f t="shared" si="11"/>
        <v>174</v>
      </c>
      <c r="C184" s="57" t="s">
        <v>70</v>
      </c>
      <c r="D184" s="58">
        <v>10</v>
      </c>
      <c r="E184" s="58" t="s">
        <v>71</v>
      </c>
      <c r="F184" s="59">
        <v>23.35</v>
      </c>
      <c r="G184" s="57"/>
      <c r="H184" s="58">
        <v>4.2</v>
      </c>
      <c r="I184" s="60">
        <f t="shared" si="9"/>
        <v>98.070000000000007</v>
      </c>
      <c r="J184" s="61" t="s">
        <v>74</v>
      </c>
      <c r="K184" s="61" t="s">
        <v>267</v>
      </c>
    </row>
    <row r="185" spans="2:14" ht="18.75" x14ac:dyDescent="0.25">
      <c r="B185" s="61">
        <f t="shared" si="11"/>
        <v>175</v>
      </c>
      <c r="C185" s="57" t="s">
        <v>70</v>
      </c>
      <c r="D185" s="58">
        <v>11</v>
      </c>
      <c r="E185" s="58" t="s">
        <v>71</v>
      </c>
      <c r="F185" s="59">
        <v>19.78</v>
      </c>
      <c r="G185" s="57"/>
      <c r="H185" s="58">
        <v>4.2</v>
      </c>
      <c r="I185" s="60">
        <f t="shared" si="9"/>
        <v>83.076000000000008</v>
      </c>
      <c r="J185" s="61" t="s">
        <v>75</v>
      </c>
      <c r="K185" s="61" t="s">
        <v>267</v>
      </c>
    </row>
    <row r="186" spans="2:14" ht="18.75" x14ac:dyDescent="0.3">
      <c r="B186" s="13">
        <f t="shared" si="11"/>
        <v>176</v>
      </c>
      <c r="C186" s="19" t="s">
        <v>16</v>
      </c>
      <c r="D186" s="20">
        <v>5</v>
      </c>
      <c r="E186" s="20" t="s">
        <v>71</v>
      </c>
      <c r="F186" s="21">
        <v>12.5</v>
      </c>
      <c r="G186" s="19"/>
      <c r="H186" s="20">
        <v>2.4</v>
      </c>
      <c r="I186" s="21">
        <f t="shared" si="9"/>
        <v>30</v>
      </c>
      <c r="J186" s="22" t="s">
        <v>15</v>
      </c>
      <c r="K186" s="22" t="s">
        <v>15</v>
      </c>
      <c r="L186" s="23">
        <f t="shared" ref="L186:L190" si="17">+I186</f>
        <v>30</v>
      </c>
      <c r="M186" s="24"/>
      <c r="N186" s="24"/>
    </row>
    <row r="187" spans="2:14" ht="18.75" x14ac:dyDescent="0.25">
      <c r="B187" s="13">
        <f t="shared" si="11"/>
        <v>177</v>
      </c>
      <c r="C187" s="10" t="s">
        <v>16</v>
      </c>
      <c r="D187" s="11">
        <v>6</v>
      </c>
      <c r="E187" s="11" t="s">
        <v>71</v>
      </c>
      <c r="F187" s="12">
        <v>12.5</v>
      </c>
      <c r="G187" s="10"/>
      <c r="H187" s="11">
        <v>2.4</v>
      </c>
      <c r="I187" s="21">
        <f t="shared" si="9"/>
        <v>30</v>
      </c>
      <c r="J187" s="13" t="s">
        <v>158</v>
      </c>
      <c r="K187" s="9" t="s">
        <v>191</v>
      </c>
    </row>
    <row r="188" spans="2:14" ht="18.75" x14ac:dyDescent="0.3">
      <c r="B188" s="13">
        <f t="shared" si="11"/>
        <v>178</v>
      </c>
      <c r="C188" s="19" t="s">
        <v>16</v>
      </c>
      <c r="D188" s="20">
        <v>13</v>
      </c>
      <c r="E188" s="20" t="s">
        <v>71</v>
      </c>
      <c r="F188" s="21">
        <v>12.5</v>
      </c>
      <c r="G188" s="19"/>
      <c r="H188" s="20">
        <v>2.4</v>
      </c>
      <c r="I188" s="21">
        <f t="shared" si="9"/>
        <v>30</v>
      </c>
      <c r="J188" s="22" t="s">
        <v>15</v>
      </c>
      <c r="K188" s="22" t="s">
        <v>15</v>
      </c>
      <c r="L188" s="23">
        <f t="shared" si="17"/>
        <v>30</v>
      </c>
      <c r="M188" s="24"/>
      <c r="N188" s="24"/>
    </row>
    <row r="189" spans="2:14" ht="18.75" x14ac:dyDescent="0.3">
      <c r="B189" s="13">
        <f t="shared" si="11"/>
        <v>179</v>
      </c>
      <c r="C189" s="19" t="s">
        <v>16</v>
      </c>
      <c r="D189" s="20">
        <v>126</v>
      </c>
      <c r="E189" s="20" t="s">
        <v>71</v>
      </c>
      <c r="F189" s="21">
        <v>12.5</v>
      </c>
      <c r="G189" s="19"/>
      <c r="H189" s="20">
        <v>2.4</v>
      </c>
      <c r="I189" s="21">
        <f t="shared" si="9"/>
        <v>30</v>
      </c>
      <c r="J189" s="22" t="s">
        <v>15</v>
      </c>
      <c r="K189" s="22" t="s">
        <v>15</v>
      </c>
      <c r="L189" s="23">
        <f t="shared" si="17"/>
        <v>30</v>
      </c>
      <c r="M189" s="24"/>
      <c r="N189" s="24"/>
    </row>
    <row r="190" spans="2:14" ht="18.75" x14ac:dyDescent="0.3">
      <c r="B190" s="13">
        <f t="shared" si="11"/>
        <v>180</v>
      </c>
      <c r="C190" s="19" t="s">
        <v>16</v>
      </c>
      <c r="D190" s="20">
        <v>127</v>
      </c>
      <c r="E190" s="20" t="s">
        <v>71</v>
      </c>
      <c r="F190" s="21">
        <v>12.5</v>
      </c>
      <c r="G190" s="19"/>
      <c r="H190" s="20">
        <v>2.4</v>
      </c>
      <c r="I190" s="21">
        <f t="shared" si="9"/>
        <v>30</v>
      </c>
      <c r="J190" s="22" t="s">
        <v>15</v>
      </c>
      <c r="K190" s="22" t="s">
        <v>15</v>
      </c>
      <c r="L190" s="23">
        <f t="shared" si="17"/>
        <v>30</v>
      </c>
      <c r="M190" s="24"/>
      <c r="N190" s="24"/>
    </row>
    <row r="191" spans="2:14" ht="18.75" x14ac:dyDescent="0.25">
      <c r="B191" s="13">
        <f t="shared" si="11"/>
        <v>181</v>
      </c>
      <c r="C191" s="10" t="s">
        <v>16</v>
      </c>
      <c r="D191" s="11">
        <v>128</v>
      </c>
      <c r="E191" s="11" t="s">
        <v>71</v>
      </c>
      <c r="F191" s="12">
        <v>12.5</v>
      </c>
      <c r="G191" s="10"/>
      <c r="H191" s="11">
        <v>2.4</v>
      </c>
      <c r="I191" s="21">
        <f t="shared" si="9"/>
        <v>30</v>
      </c>
      <c r="J191" s="13" t="s">
        <v>175</v>
      </c>
      <c r="K191" s="9" t="s">
        <v>208</v>
      </c>
    </row>
    <row r="192" spans="2:14" ht="18.75" x14ac:dyDescent="0.25">
      <c r="B192" s="13">
        <f t="shared" si="11"/>
        <v>182</v>
      </c>
      <c r="C192" s="10" t="s">
        <v>16</v>
      </c>
      <c r="D192" s="11">
        <v>129</v>
      </c>
      <c r="E192" s="11" t="s">
        <v>71</v>
      </c>
      <c r="F192" s="12">
        <v>12.5</v>
      </c>
      <c r="G192" s="10"/>
      <c r="H192" s="11">
        <v>2.4</v>
      </c>
      <c r="I192" s="21">
        <f t="shared" si="9"/>
        <v>30</v>
      </c>
      <c r="J192" s="13" t="s">
        <v>176</v>
      </c>
      <c r="K192" s="9" t="s">
        <v>212</v>
      </c>
    </row>
    <row r="193" spans="2:14" ht="18.75" x14ac:dyDescent="0.3">
      <c r="B193" s="13">
        <f t="shared" si="11"/>
        <v>183</v>
      </c>
      <c r="C193" s="19" t="s">
        <v>16</v>
      </c>
      <c r="D193" s="20">
        <v>130</v>
      </c>
      <c r="E193" s="20" t="s">
        <v>71</v>
      </c>
      <c r="F193" s="21">
        <v>12.5</v>
      </c>
      <c r="G193" s="19"/>
      <c r="H193" s="20">
        <v>2.4</v>
      </c>
      <c r="I193" s="21">
        <f t="shared" si="9"/>
        <v>30</v>
      </c>
      <c r="J193" s="22" t="s">
        <v>15</v>
      </c>
      <c r="K193" s="22" t="s">
        <v>15</v>
      </c>
      <c r="L193" s="23">
        <f t="shared" ref="L193" si="18">+I193</f>
        <v>30</v>
      </c>
      <c r="M193" s="24"/>
      <c r="N193" s="24"/>
    </row>
    <row r="194" spans="2:14" ht="18.75" x14ac:dyDescent="0.25">
      <c r="B194" s="13">
        <f t="shared" si="11"/>
        <v>184</v>
      </c>
      <c r="C194" s="57" t="s">
        <v>70</v>
      </c>
      <c r="D194" s="58">
        <v>12</v>
      </c>
      <c r="E194" s="58" t="s">
        <v>76</v>
      </c>
      <c r="F194" s="59">
        <v>100.05</v>
      </c>
      <c r="G194" s="57"/>
      <c r="H194" s="58">
        <v>4.2</v>
      </c>
      <c r="I194" s="60">
        <f t="shared" si="9"/>
        <v>420.21</v>
      </c>
      <c r="J194" s="61" t="s">
        <v>192</v>
      </c>
      <c r="K194" s="61" t="s">
        <v>268</v>
      </c>
    </row>
    <row r="195" spans="2:14" ht="18.75" x14ac:dyDescent="0.25">
      <c r="B195" s="13">
        <f t="shared" si="11"/>
        <v>185</v>
      </c>
      <c r="C195" s="57" t="s">
        <v>70</v>
      </c>
      <c r="D195" s="58">
        <v>14</v>
      </c>
      <c r="E195" s="58" t="s">
        <v>76</v>
      </c>
      <c r="F195" s="59">
        <v>27.66</v>
      </c>
      <c r="G195" s="57"/>
      <c r="H195" s="58">
        <v>4.2</v>
      </c>
      <c r="I195" s="60">
        <f t="shared" si="9"/>
        <v>116.17200000000001</v>
      </c>
      <c r="J195" s="61" t="s">
        <v>65</v>
      </c>
      <c r="K195" s="61" t="s">
        <v>268</v>
      </c>
    </row>
    <row r="196" spans="2:14" ht="18.75" x14ac:dyDescent="0.25">
      <c r="B196" s="13">
        <f t="shared" si="11"/>
        <v>186</v>
      </c>
      <c r="C196" s="57" t="s">
        <v>70</v>
      </c>
      <c r="D196" s="58">
        <v>15</v>
      </c>
      <c r="E196" s="58" t="s">
        <v>76</v>
      </c>
      <c r="F196" s="59">
        <v>51.61</v>
      </c>
      <c r="G196" s="57"/>
      <c r="H196" s="58">
        <v>4.2</v>
      </c>
      <c r="I196" s="60">
        <f t="shared" si="9"/>
        <v>216.762</v>
      </c>
      <c r="J196" s="61" t="s">
        <v>74</v>
      </c>
      <c r="K196" s="61" t="s">
        <v>268</v>
      </c>
    </row>
    <row r="197" spans="2:14" ht="18.75" x14ac:dyDescent="0.25">
      <c r="B197" s="13">
        <f t="shared" si="11"/>
        <v>187</v>
      </c>
      <c r="C197" s="57" t="s">
        <v>70</v>
      </c>
      <c r="D197" s="58">
        <v>16</v>
      </c>
      <c r="E197" s="58" t="s">
        <v>76</v>
      </c>
      <c r="F197" s="59">
        <v>19.260000000000002</v>
      </c>
      <c r="G197" s="57"/>
      <c r="H197" s="58">
        <v>4.2</v>
      </c>
      <c r="I197" s="60">
        <f t="shared" si="9"/>
        <v>80.89200000000001</v>
      </c>
      <c r="J197" s="61" t="s">
        <v>46</v>
      </c>
      <c r="K197" s="61" t="s">
        <v>268</v>
      </c>
    </row>
    <row r="198" spans="2:14" ht="18.75" x14ac:dyDescent="0.25">
      <c r="B198" s="13">
        <f t="shared" si="11"/>
        <v>188</v>
      </c>
      <c r="C198" s="57" t="s">
        <v>70</v>
      </c>
      <c r="D198" s="58">
        <v>17</v>
      </c>
      <c r="E198" s="58" t="s">
        <v>76</v>
      </c>
      <c r="F198" s="59">
        <v>20.09</v>
      </c>
      <c r="G198" s="57"/>
      <c r="H198" s="58">
        <v>4.2</v>
      </c>
      <c r="I198" s="60">
        <f t="shared" si="9"/>
        <v>84.378</v>
      </c>
      <c r="J198" s="61" t="s">
        <v>77</v>
      </c>
      <c r="K198" s="61" t="s">
        <v>268</v>
      </c>
    </row>
    <row r="199" spans="2:14" ht="18.75" x14ac:dyDescent="0.25">
      <c r="B199" s="13">
        <f t="shared" si="11"/>
        <v>189</v>
      </c>
      <c r="C199" s="57" t="s">
        <v>70</v>
      </c>
      <c r="D199" s="58">
        <v>18</v>
      </c>
      <c r="E199" s="58" t="s">
        <v>76</v>
      </c>
      <c r="F199" s="59">
        <v>38.21</v>
      </c>
      <c r="G199" s="57"/>
      <c r="H199" s="58">
        <v>4.2</v>
      </c>
      <c r="I199" s="60">
        <f t="shared" si="9"/>
        <v>160.482</v>
      </c>
      <c r="J199" s="61" t="s">
        <v>26</v>
      </c>
      <c r="K199" s="61" t="s">
        <v>268</v>
      </c>
    </row>
    <row r="200" spans="2:14" ht="18.75" x14ac:dyDescent="0.25">
      <c r="B200" s="13">
        <f t="shared" si="11"/>
        <v>190</v>
      </c>
      <c r="C200" s="57" t="s">
        <v>70</v>
      </c>
      <c r="D200" s="58">
        <v>19</v>
      </c>
      <c r="E200" s="58" t="s">
        <v>76</v>
      </c>
      <c r="F200" s="59">
        <v>23.54</v>
      </c>
      <c r="G200" s="57"/>
      <c r="H200" s="58">
        <v>4.2</v>
      </c>
      <c r="I200" s="60">
        <f t="shared" si="9"/>
        <v>98.867999999999995</v>
      </c>
      <c r="J200" s="61" t="s">
        <v>78</v>
      </c>
      <c r="K200" s="61" t="s">
        <v>268</v>
      </c>
    </row>
    <row r="201" spans="2:14" ht="18.75" x14ac:dyDescent="0.25">
      <c r="B201" s="13">
        <f t="shared" si="11"/>
        <v>191</v>
      </c>
      <c r="C201" s="48" t="s">
        <v>79</v>
      </c>
      <c r="D201" s="49" t="s">
        <v>84</v>
      </c>
      <c r="E201" s="49" t="s">
        <v>80</v>
      </c>
      <c r="F201" s="50">
        <v>50.36</v>
      </c>
      <c r="G201" s="48"/>
      <c r="H201" s="49">
        <v>4.2</v>
      </c>
      <c r="I201" s="51">
        <f t="shared" si="9"/>
        <v>211.512</v>
      </c>
      <c r="J201" s="52" t="s">
        <v>164</v>
      </c>
      <c r="K201" s="52" t="s">
        <v>269</v>
      </c>
    </row>
    <row r="202" spans="2:14" ht="18.75" x14ac:dyDescent="0.25">
      <c r="B202" s="13">
        <f t="shared" si="11"/>
        <v>192</v>
      </c>
      <c r="C202" s="48" t="s">
        <v>79</v>
      </c>
      <c r="D202" s="49" t="s">
        <v>86</v>
      </c>
      <c r="E202" s="49" t="s">
        <v>80</v>
      </c>
      <c r="F202" s="50">
        <v>50.26</v>
      </c>
      <c r="G202" s="48"/>
      <c r="H202" s="49">
        <v>4.2</v>
      </c>
      <c r="I202" s="51">
        <f t="shared" si="9"/>
        <v>211.09200000000001</v>
      </c>
      <c r="J202" s="52" t="s">
        <v>161</v>
      </c>
      <c r="K202" s="52" t="s">
        <v>269</v>
      </c>
    </row>
    <row r="203" spans="2:14" ht="18.75" x14ac:dyDescent="0.3">
      <c r="B203" s="13">
        <f t="shared" si="11"/>
        <v>193</v>
      </c>
      <c r="C203" s="53" t="s">
        <v>79</v>
      </c>
      <c r="D203" s="54" t="s">
        <v>87</v>
      </c>
      <c r="E203" s="54" t="s">
        <v>80</v>
      </c>
      <c r="F203" s="51">
        <v>54.14</v>
      </c>
      <c r="G203" s="53"/>
      <c r="H203" s="49">
        <v>4.2</v>
      </c>
      <c r="I203" s="51">
        <f t="shared" ref="I203:I266" si="19">F203*H203</f>
        <v>227.38800000000001</v>
      </c>
      <c r="J203" s="55" t="s">
        <v>163</v>
      </c>
      <c r="K203" s="52" t="s">
        <v>269</v>
      </c>
      <c r="L203" s="23">
        <f>+I203</f>
        <v>227.38800000000001</v>
      </c>
      <c r="M203" s="24"/>
      <c r="N203" s="24"/>
    </row>
    <row r="204" spans="2:14" ht="18.75" x14ac:dyDescent="0.3">
      <c r="B204" s="13">
        <f t="shared" si="11"/>
        <v>194</v>
      </c>
      <c r="C204" s="53" t="s">
        <v>79</v>
      </c>
      <c r="D204" s="54" t="s">
        <v>88</v>
      </c>
      <c r="E204" s="54" t="s">
        <v>80</v>
      </c>
      <c r="F204" s="51">
        <v>52.59</v>
      </c>
      <c r="G204" s="53"/>
      <c r="H204" s="49">
        <v>4.2</v>
      </c>
      <c r="I204" s="51">
        <f t="shared" si="19"/>
        <v>220.87800000000001</v>
      </c>
      <c r="J204" s="55" t="s">
        <v>163</v>
      </c>
      <c r="K204" s="52" t="s">
        <v>269</v>
      </c>
      <c r="L204" s="23">
        <f>+I204</f>
        <v>220.87800000000001</v>
      </c>
      <c r="M204" s="24"/>
      <c r="N204" s="24"/>
    </row>
    <row r="205" spans="2:14" ht="18.75" x14ac:dyDescent="0.25">
      <c r="B205" s="13">
        <f t="shared" ref="B205:B268" si="20">+B204+1</f>
        <v>195</v>
      </c>
      <c r="C205" s="48" t="s">
        <v>79</v>
      </c>
      <c r="D205" s="49" t="s">
        <v>84</v>
      </c>
      <c r="E205" s="49" t="s">
        <v>81</v>
      </c>
      <c r="F205" s="49">
        <v>52.57</v>
      </c>
      <c r="G205" s="56">
        <v>52.57</v>
      </c>
      <c r="H205" s="49">
        <v>4.2</v>
      </c>
      <c r="I205" s="51">
        <f t="shared" si="19"/>
        <v>220.79400000000001</v>
      </c>
      <c r="J205" s="52" t="s">
        <v>82</v>
      </c>
      <c r="K205" s="52" t="s">
        <v>269</v>
      </c>
    </row>
    <row r="206" spans="2:14" ht="18.75" x14ac:dyDescent="0.25">
      <c r="B206" s="13">
        <f t="shared" si="20"/>
        <v>196</v>
      </c>
      <c r="C206" s="48" t="s">
        <v>79</v>
      </c>
      <c r="D206" s="49" t="s">
        <v>86</v>
      </c>
      <c r="E206" s="49" t="s">
        <v>81</v>
      </c>
      <c r="F206" s="49">
        <v>100.66</v>
      </c>
      <c r="G206" s="56">
        <v>100.66</v>
      </c>
      <c r="H206" s="49">
        <v>4.2</v>
      </c>
      <c r="I206" s="51">
        <f t="shared" si="19"/>
        <v>422.77199999999999</v>
      </c>
      <c r="J206" s="52" t="s">
        <v>66</v>
      </c>
      <c r="K206" s="52" t="s">
        <v>269</v>
      </c>
    </row>
    <row r="207" spans="2:14" ht="18.75" x14ac:dyDescent="0.25">
      <c r="B207" s="13">
        <f t="shared" si="20"/>
        <v>197</v>
      </c>
      <c r="C207" s="48" t="s">
        <v>79</v>
      </c>
      <c r="D207" s="49" t="s">
        <v>87</v>
      </c>
      <c r="E207" s="49" t="s">
        <v>81</v>
      </c>
      <c r="F207" s="50">
        <v>46.95</v>
      </c>
      <c r="G207" s="48"/>
      <c r="H207" s="49">
        <v>4.2</v>
      </c>
      <c r="I207" s="51">
        <f t="shared" si="19"/>
        <v>197.19000000000003</v>
      </c>
      <c r="J207" s="52" t="s">
        <v>83</v>
      </c>
      <c r="K207" s="52" t="s">
        <v>269</v>
      </c>
    </row>
    <row r="208" spans="2:14" ht="18.75" x14ac:dyDescent="0.25">
      <c r="B208" s="13">
        <f t="shared" si="20"/>
        <v>198</v>
      </c>
      <c r="C208" s="48" t="s">
        <v>79</v>
      </c>
      <c r="D208" s="49" t="s">
        <v>84</v>
      </c>
      <c r="E208" s="49" t="s">
        <v>85</v>
      </c>
      <c r="F208" s="50">
        <v>52.46</v>
      </c>
      <c r="G208" s="48"/>
      <c r="H208" s="49">
        <v>4.2</v>
      </c>
      <c r="I208" s="51">
        <f t="shared" si="19"/>
        <v>220.33200000000002</v>
      </c>
      <c r="J208" s="52" t="s">
        <v>48</v>
      </c>
      <c r="K208" s="52" t="s">
        <v>269</v>
      </c>
    </row>
    <row r="209" spans="2:11" ht="18.75" x14ac:dyDescent="0.25">
      <c r="B209" s="13">
        <f t="shared" si="20"/>
        <v>199</v>
      </c>
      <c r="C209" s="48" t="s">
        <v>79</v>
      </c>
      <c r="D209" s="49" t="s">
        <v>86</v>
      </c>
      <c r="E209" s="49" t="s">
        <v>85</v>
      </c>
      <c r="F209" s="50">
        <v>44.96</v>
      </c>
      <c r="G209" s="48"/>
      <c r="H209" s="49">
        <v>4.2</v>
      </c>
      <c r="I209" s="51">
        <f t="shared" si="19"/>
        <v>188.83200000000002</v>
      </c>
      <c r="J209" s="52" t="s">
        <v>48</v>
      </c>
      <c r="K209" s="52" t="s">
        <v>269</v>
      </c>
    </row>
    <row r="210" spans="2:11" ht="18.75" x14ac:dyDescent="0.25">
      <c r="B210" s="13">
        <f t="shared" si="20"/>
        <v>200</v>
      </c>
      <c r="C210" s="48" t="s">
        <v>79</v>
      </c>
      <c r="D210" s="49" t="s">
        <v>87</v>
      </c>
      <c r="E210" s="49" t="s">
        <v>85</v>
      </c>
      <c r="F210" s="50">
        <v>52.56</v>
      </c>
      <c r="G210" s="48"/>
      <c r="H210" s="49">
        <v>4.2</v>
      </c>
      <c r="I210" s="51">
        <f t="shared" si="19"/>
        <v>220.75200000000001</v>
      </c>
      <c r="J210" s="52" t="s">
        <v>48</v>
      </c>
      <c r="K210" s="52" t="s">
        <v>269</v>
      </c>
    </row>
    <row r="211" spans="2:11" ht="18.75" x14ac:dyDescent="0.25">
      <c r="B211" s="13">
        <f t="shared" si="20"/>
        <v>201</v>
      </c>
      <c r="C211" s="48" t="s">
        <v>79</v>
      </c>
      <c r="D211" s="49" t="s">
        <v>88</v>
      </c>
      <c r="E211" s="49" t="s">
        <v>85</v>
      </c>
      <c r="F211" s="50">
        <v>51.59</v>
      </c>
      <c r="G211" s="48"/>
      <c r="H211" s="49">
        <v>4.2</v>
      </c>
      <c r="I211" s="51">
        <f t="shared" si="19"/>
        <v>216.67800000000003</v>
      </c>
      <c r="J211" s="52" t="s">
        <v>77</v>
      </c>
      <c r="K211" s="52" t="s">
        <v>269</v>
      </c>
    </row>
    <row r="212" spans="2:11" ht="18.75" x14ac:dyDescent="0.25">
      <c r="B212" s="13">
        <f t="shared" si="20"/>
        <v>202</v>
      </c>
      <c r="C212" s="48" t="s">
        <v>79</v>
      </c>
      <c r="D212" s="49" t="s">
        <v>89</v>
      </c>
      <c r="E212" s="49" t="s">
        <v>85</v>
      </c>
      <c r="F212" s="50">
        <v>40.47</v>
      </c>
      <c r="G212" s="48"/>
      <c r="H212" s="49">
        <v>4.2</v>
      </c>
      <c r="I212" s="51">
        <f t="shared" si="19"/>
        <v>169.97399999999999</v>
      </c>
      <c r="J212" s="52" t="s">
        <v>90</v>
      </c>
      <c r="K212" s="52" t="s">
        <v>269</v>
      </c>
    </row>
    <row r="213" spans="2:11" ht="18.75" x14ac:dyDescent="0.25">
      <c r="B213" s="13">
        <f t="shared" si="20"/>
        <v>203</v>
      </c>
      <c r="C213" s="48" t="s">
        <v>79</v>
      </c>
      <c r="D213" s="49" t="s">
        <v>91</v>
      </c>
      <c r="E213" s="49" t="s">
        <v>85</v>
      </c>
      <c r="F213" s="50">
        <v>40.47</v>
      </c>
      <c r="G213" s="48"/>
      <c r="H213" s="49">
        <v>4.2</v>
      </c>
      <c r="I213" s="51">
        <f t="shared" si="19"/>
        <v>169.97399999999999</v>
      </c>
      <c r="J213" s="52" t="s">
        <v>92</v>
      </c>
      <c r="K213" s="52" t="s">
        <v>269</v>
      </c>
    </row>
    <row r="214" spans="2:11" ht="18.75" x14ac:dyDescent="0.25">
      <c r="B214" s="13">
        <f t="shared" si="20"/>
        <v>204</v>
      </c>
      <c r="C214" s="48" t="s">
        <v>79</v>
      </c>
      <c r="D214" s="49" t="s">
        <v>93</v>
      </c>
      <c r="E214" s="49" t="s">
        <v>85</v>
      </c>
      <c r="F214" s="50">
        <v>52.88</v>
      </c>
      <c r="G214" s="48"/>
      <c r="H214" s="49">
        <v>4.2</v>
      </c>
      <c r="I214" s="51">
        <f t="shared" si="19"/>
        <v>222.09600000000003</v>
      </c>
      <c r="J214" s="52" t="s">
        <v>165</v>
      </c>
      <c r="K214" s="52" t="s">
        <v>269</v>
      </c>
    </row>
    <row r="215" spans="2:11" ht="18.75" x14ac:dyDescent="0.25">
      <c r="B215" s="13">
        <f t="shared" si="20"/>
        <v>205</v>
      </c>
      <c r="C215" s="48" t="s">
        <v>79</v>
      </c>
      <c r="D215" s="49" t="s">
        <v>84</v>
      </c>
      <c r="E215" s="49" t="s">
        <v>94</v>
      </c>
      <c r="F215" s="50">
        <v>52.46</v>
      </c>
      <c r="G215" s="48"/>
      <c r="H215" s="49">
        <v>4.2</v>
      </c>
      <c r="I215" s="51">
        <f t="shared" si="19"/>
        <v>220.33200000000002</v>
      </c>
      <c r="J215" s="52" t="s">
        <v>95</v>
      </c>
      <c r="K215" s="52" t="s">
        <v>269</v>
      </c>
    </row>
    <row r="216" spans="2:11" ht="18.75" x14ac:dyDescent="0.25">
      <c r="B216" s="13">
        <f t="shared" si="20"/>
        <v>206</v>
      </c>
      <c r="C216" s="48" t="s">
        <v>79</v>
      </c>
      <c r="D216" s="49" t="s">
        <v>86</v>
      </c>
      <c r="E216" s="49" t="s">
        <v>94</v>
      </c>
      <c r="F216" s="50">
        <v>44.96</v>
      </c>
      <c r="G216" s="48"/>
      <c r="H216" s="49">
        <v>4.2</v>
      </c>
      <c r="I216" s="51">
        <f t="shared" si="19"/>
        <v>188.83200000000002</v>
      </c>
      <c r="J216" s="52" t="s">
        <v>166</v>
      </c>
      <c r="K216" s="52" t="s">
        <v>269</v>
      </c>
    </row>
    <row r="217" spans="2:11" ht="18.75" x14ac:dyDescent="0.25">
      <c r="B217" s="13">
        <f t="shared" si="20"/>
        <v>207</v>
      </c>
      <c r="C217" s="48" t="s">
        <v>79</v>
      </c>
      <c r="D217" s="49" t="s">
        <v>87</v>
      </c>
      <c r="E217" s="49" t="s">
        <v>94</v>
      </c>
      <c r="F217" s="50">
        <v>52.56</v>
      </c>
      <c r="G217" s="48"/>
      <c r="H217" s="49">
        <v>4.2</v>
      </c>
      <c r="I217" s="51">
        <f t="shared" si="19"/>
        <v>220.75200000000001</v>
      </c>
      <c r="J217" s="52" t="s">
        <v>167</v>
      </c>
      <c r="K217" s="52" t="s">
        <v>269</v>
      </c>
    </row>
    <row r="218" spans="2:11" ht="18.75" x14ac:dyDescent="0.25">
      <c r="B218" s="13">
        <f t="shared" si="20"/>
        <v>208</v>
      </c>
      <c r="C218" s="48" t="s">
        <v>79</v>
      </c>
      <c r="D218" s="49" t="s">
        <v>88</v>
      </c>
      <c r="E218" s="49" t="s">
        <v>94</v>
      </c>
      <c r="F218" s="50">
        <v>51.59</v>
      </c>
      <c r="G218" s="48"/>
      <c r="H218" s="49">
        <v>4.2</v>
      </c>
      <c r="I218" s="51">
        <f t="shared" si="19"/>
        <v>216.67800000000003</v>
      </c>
      <c r="J218" s="52" t="s">
        <v>168</v>
      </c>
      <c r="K218" s="52" t="s">
        <v>269</v>
      </c>
    </row>
    <row r="219" spans="2:11" ht="18.75" x14ac:dyDescent="0.25">
      <c r="B219" s="13">
        <f t="shared" si="20"/>
        <v>209</v>
      </c>
      <c r="C219" s="48" t="s">
        <v>79</v>
      </c>
      <c r="D219" s="49" t="s">
        <v>89</v>
      </c>
      <c r="E219" s="49" t="s">
        <v>94</v>
      </c>
      <c r="F219" s="50">
        <v>40.47</v>
      </c>
      <c r="G219" s="48"/>
      <c r="H219" s="49">
        <v>4.2</v>
      </c>
      <c r="I219" s="51">
        <f t="shared" si="19"/>
        <v>169.97399999999999</v>
      </c>
      <c r="J219" s="52" t="s">
        <v>169</v>
      </c>
      <c r="K219" s="52" t="s">
        <v>269</v>
      </c>
    </row>
    <row r="220" spans="2:11" ht="18.75" x14ac:dyDescent="0.25">
      <c r="B220" s="13">
        <f t="shared" si="20"/>
        <v>210</v>
      </c>
      <c r="C220" s="48" t="s">
        <v>79</v>
      </c>
      <c r="D220" s="49" t="s">
        <v>91</v>
      </c>
      <c r="E220" s="49" t="s">
        <v>94</v>
      </c>
      <c r="F220" s="50">
        <v>40.47</v>
      </c>
      <c r="G220" s="48"/>
      <c r="H220" s="49">
        <v>4.2</v>
      </c>
      <c r="I220" s="51">
        <f t="shared" si="19"/>
        <v>169.97399999999999</v>
      </c>
      <c r="J220" s="52" t="s">
        <v>96</v>
      </c>
      <c r="K220" s="52" t="s">
        <v>269</v>
      </c>
    </row>
    <row r="221" spans="2:11" ht="18.75" x14ac:dyDescent="0.25">
      <c r="B221" s="13">
        <f t="shared" si="20"/>
        <v>211</v>
      </c>
      <c r="C221" s="48" t="s">
        <v>79</v>
      </c>
      <c r="D221" s="49" t="s">
        <v>93</v>
      </c>
      <c r="E221" s="49" t="s">
        <v>94</v>
      </c>
      <c r="F221" s="50">
        <v>52.88</v>
      </c>
      <c r="G221" s="48"/>
      <c r="H221" s="49">
        <v>4.2</v>
      </c>
      <c r="I221" s="51">
        <f t="shared" si="19"/>
        <v>222.09600000000003</v>
      </c>
      <c r="J221" s="52" t="s">
        <v>97</v>
      </c>
      <c r="K221" s="52" t="s">
        <v>269</v>
      </c>
    </row>
    <row r="222" spans="2:11" ht="18.75" x14ac:dyDescent="0.25">
      <c r="B222" s="13">
        <f t="shared" si="20"/>
        <v>212</v>
      </c>
      <c r="C222" s="48" t="s">
        <v>79</v>
      </c>
      <c r="D222" s="49" t="s">
        <v>84</v>
      </c>
      <c r="E222" s="49" t="s">
        <v>98</v>
      </c>
      <c r="F222" s="50">
        <v>52.46</v>
      </c>
      <c r="G222" s="48"/>
      <c r="H222" s="49">
        <v>4.2</v>
      </c>
      <c r="I222" s="51">
        <f t="shared" si="19"/>
        <v>220.33200000000002</v>
      </c>
      <c r="J222" s="52" t="s">
        <v>58</v>
      </c>
      <c r="K222" s="52" t="s">
        <v>269</v>
      </c>
    </row>
    <row r="223" spans="2:11" ht="18.75" x14ac:dyDescent="0.25">
      <c r="B223" s="13">
        <f t="shared" si="20"/>
        <v>213</v>
      </c>
      <c r="C223" s="48" t="s">
        <v>79</v>
      </c>
      <c r="D223" s="49" t="s">
        <v>86</v>
      </c>
      <c r="E223" s="49" t="s">
        <v>98</v>
      </c>
      <c r="F223" s="50">
        <v>44.96</v>
      </c>
      <c r="G223" s="48"/>
      <c r="H223" s="49">
        <v>4.2</v>
      </c>
      <c r="I223" s="51">
        <f t="shared" si="19"/>
        <v>188.83200000000002</v>
      </c>
      <c r="J223" s="52" t="s">
        <v>170</v>
      </c>
      <c r="K223" s="52" t="s">
        <v>269</v>
      </c>
    </row>
    <row r="224" spans="2:11" ht="18.75" x14ac:dyDescent="0.25">
      <c r="B224" s="13">
        <f t="shared" si="20"/>
        <v>214</v>
      </c>
      <c r="C224" s="48" t="s">
        <v>79</v>
      </c>
      <c r="D224" s="49" t="s">
        <v>87</v>
      </c>
      <c r="E224" s="49" t="s">
        <v>98</v>
      </c>
      <c r="F224" s="50">
        <v>52.56</v>
      </c>
      <c r="G224" s="48"/>
      <c r="H224" s="49">
        <v>4.2</v>
      </c>
      <c r="I224" s="51">
        <f t="shared" si="19"/>
        <v>220.75200000000001</v>
      </c>
      <c r="J224" s="52" t="s">
        <v>42</v>
      </c>
      <c r="K224" s="52" t="s">
        <v>269</v>
      </c>
    </row>
    <row r="225" spans="2:11" ht="18.75" x14ac:dyDescent="0.25">
      <c r="B225" s="13">
        <f t="shared" si="20"/>
        <v>215</v>
      </c>
      <c r="C225" s="48" t="s">
        <v>79</v>
      </c>
      <c r="D225" s="49" t="s">
        <v>88</v>
      </c>
      <c r="E225" s="49" t="s">
        <v>98</v>
      </c>
      <c r="F225" s="50">
        <v>51.59</v>
      </c>
      <c r="G225" s="48"/>
      <c r="H225" s="49">
        <v>4.2</v>
      </c>
      <c r="I225" s="51">
        <f t="shared" si="19"/>
        <v>216.67800000000003</v>
      </c>
      <c r="J225" s="52" t="s">
        <v>99</v>
      </c>
      <c r="K225" s="52" t="s">
        <v>269</v>
      </c>
    </row>
    <row r="226" spans="2:11" ht="18.75" x14ac:dyDescent="0.25">
      <c r="B226" s="13">
        <f t="shared" si="20"/>
        <v>216</v>
      </c>
      <c r="C226" s="48" t="s">
        <v>79</v>
      </c>
      <c r="D226" s="49" t="s">
        <v>89</v>
      </c>
      <c r="E226" s="49" t="s">
        <v>98</v>
      </c>
      <c r="F226" s="50">
        <v>40.47</v>
      </c>
      <c r="G226" s="48"/>
      <c r="H226" s="49">
        <v>4.2</v>
      </c>
      <c r="I226" s="51">
        <f t="shared" si="19"/>
        <v>169.97399999999999</v>
      </c>
      <c r="J226" s="52" t="s">
        <v>100</v>
      </c>
      <c r="K226" s="52" t="s">
        <v>269</v>
      </c>
    </row>
    <row r="227" spans="2:11" ht="18.75" x14ac:dyDescent="0.25">
      <c r="B227" s="13">
        <f t="shared" si="20"/>
        <v>217</v>
      </c>
      <c r="C227" s="48" t="s">
        <v>79</v>
      </c>
      <c r="D227" s="49" t="s">
        <v>91</v>
      </c>
      <c r="E227" s="49" t="s">
        <v>98</v>
      </c>
      <c r="F227" s="50">
        <v>40.47</v>
      </c>
      <c r="G227" s="48"/>
      <c r="H227" s="49">
        <v>4.2</v>
      </c>
      <c r="I227" s="51">
        <f t="shared" si="19"/>
        <v>169.97399999999999</v>
      </c>
      <c r="J227" s="52" t="s">
        <v>171</v>
      </c>
      <c r="K227" s="52" t="s">
        <v>269</v>
      </c>
    </row>
    <row r="228" spans="2:11" ht="18.75" x14ac:dyDescent="0.25">
      <c r="B228" s="13">
        <f t="shared" si="20"/>
        <v>218</v>
      </c>
      <c r="C228" s="48" t="s">
        <v>79</v>
      </c>
      <c r="D228" s="49" t="s">
        <v>93</v>
      </c>
      <c r="E228" s="49" t="s">
        <v>98</v>
      </c>
      <c r="F228" s="50">
        <v>52.88</v>
      </c>
      <c r="G228" s="48"/>
      <c r="H228" s="49">
        <v>4.2</v>
      </c>
      <c r="I228" s="51">
        <f t="shared" si="19"/>
        <v>222.09600000000003</v>
      </c>
      <c r="J228" s="52" t="s">
        <v>101</v>
      </c>
      <c r="K228" s="52" t="s">
        <v>269</v>
      </c>
    </row>
    <row r="229" spans="2:11" ht="18.75" x14ac:dyDescent="0.25">
      <c r="B229" s="13">
        <f t="shared" si="20"/>
        <v>219</v>
      </c>
      <c r="C229" s="48" t="s">
        <v>79</v>
      </c>
      <c r="D229" s="49" t="s">
        <v>84</v>
      </c>
      <c r="E229" s="49" t="s">
        <v>102</v>
      </c>
      <c r="F229" s="50">
        <v>52.46</v>
      </c>
      <c r="G229" s="48"/>
      <c r="H229" s="49">
        <v>4.2</v>
      </c>
      <c r="I229" s="51">
        <f t="shared" si="19"/>
        <v>220.33200000000002</v>
      </c>
      <c r="J229" s="52" t="s">
        <v>103</v>
      </c>
      <c r="K229" s="52" t="s">
        <v>269</v>
      </c>
    </row>
    <row r="230" spans="2:11" ht="18.75" x14ac:dyDescent="0.25">
      <c r="B230" s="13">
        <f t="shared" si="20"/>
        <v>220</v>
      </c>
      <c r="C230" s="48" t="s">
        <v>79</v>
      </c>
      <c r="D230" s="49" t="s">
        <v>86</v>
      </c>
      <c r="E230" s="49" t="s">
        <v>102</v>
      </c>
      <c r="F230" s="50">
        <v>44.96</v>
      </c>
      <c r="G230" s="48"/>
      <c r="H230" s="49">
        <v>4.2</v>
      </c>
      <c r="I230" s="51">
        <f t="shared" si="19"/>
        <v>188.83200000000002</v>
      </c>
      <c r="J230" s="52" t="s">
        <v>104</v>
      </c>
      <c r="K230" s="52" t="s">
        <v>269</v>
      </c>
    </row>
    <row r="231" spans="2:11" ht="18.75" x14ac:dyDescent="0.25">
      <c r="B231" s="13">
        <f t="shared" si="20"/>
        <v>221</v>
      </c>
      <c r="C231" s="48" t="s">
        <v>79</v>
      </c>
      <c r="D231" s="49" t="s">
        <v>87</v>
      </c>
      <c r="E231" s="49" t="s">
        <v>102</v>
      </c>
      <c r="F231" s="50">
        <v>52.56</v>
      </c>
      <c r="G231" s="48"/>
      <c r="H231" s="49">
        <v>4.2</v>
      </c>
      <c r="I231" s="51">
        <f t="shared" si="19"/>
        <v>220.75200000000001</v>
      </c>
      <c r="J231" s="52" t="s">
        <v>172</v>
      </c>
      <c r="K231" s="52" t="s">
        <v>269</v>
      </c>
    </row>
    <row r="232" spans="2:11" ht="18.75" x14ac:dyDescent="0.25">
      <c r="B232" s="13">
        <f t="shared" si="20"/>
        <v>222</v>
      </c>
      <c r="C232" s="48" t="s">
        <v>79</v>
      </c>
      <c r="D232" s="49" t="s">
        <v>88</v>
      </c>
      <c r="E232" s="49" t="s">
        <v>102</v>
      </c>
      <c r="F232" s="50">
        <v>51.59</v>
      </c>
      <c r="G232" s="48"/>
      <c r="H232" s="49">
        <v>4.2</v>
      </c>
      <c r="I232" s="51">
        <f t="shared" si="19"/>
        <v>216.67800000000003</v>
      </c>
      <c r="J232" s="52" t="s">
        <v>105</v>
      </c>
      <c r="K232" s="52" t="s">
        <v>269</v>
      </c>
    </row>
    <row r="233" spans="2:11" ht="18.75" x14ac:dyDescent="0.25">
      <c r="B233" s="13">
        <f t="shared" si="20"/>
        <v>223</v>
      </c>
      <c r="C233" s="48" t="s">
        <v>79</v>
      </c>
      <c r="D233" s="49" t="s">
        <v>89</v>
      </c>
      <c r="E233" s="49" t="s">
        <v>102</v>
      </c>
      <c r="F233" s="50">
        <v>40.47</v>
      </c>
      <c r="G233" s="48"/>
      <c r="H233" s="49">
        <v>4.2</v>
      </c>
      <c r="I233" s="51">
        <f t="shared" si="19"/>
        <v>169.97399999999999</v>
      </c>
      <c r="J233" s="52" t="s">
        <v>106</v>
      </c>
      <c r="K233" s="52" t="s">
        <v>269</v>
      </c>
    </row>
    <row r="234" spans="2:11" ht="18.75" x14ac:dyDescent="0.25">
      <c r="B234" s="13">
        <f t="shared" si="20"/>
        <v>224</v>
      </c>
      <c r="C234" s="48" t="s">
        <v>79</v>
      </c>
      <c r="D234" s="49" t="s">
        <v>91</v>
      </c>
      <c r="E234" s="49" t="s">
        <v>102</v>
      </c>
      <c r="F234" s="50">
        <v>40.47</v>
      </c>
      <c r="G234" s="48"/>
      <c r="H234" s="49">
        <v>4.2</v>
      </c>
      <c r="I234" s="51">
        <f t="shared" si="19"/>
        <v>169.97399999999999</v>
      </c>
      <c r="J234" s="52" t="s">
        <v>173</v>
      </c>
      <c r="K234" s="52" t="s">
        <v>269</v>
      </c>
    </row>
    <row r="235" spans="2:11" ht="18.75" x14ac:dyDescent="0.25">
      <c r="B235" s="13">
        <f t="shared" si="20"/>
        <v>225</v>
      </c>
      <c r="C235" s="48" t="s">
        <v>79</v>
      </c>
      <c r="D235" s="49" t="s">
        <v>93</v>
      </c>
      <c r="E235" s="49" t="s">
        <v>102</v>
      </c>
      <c r="F235" s="50">
        <v>52.88</v>
      </c>
      <c r="G235" s="48"/>
      <c r="H235" s="49">
        <v>4.2</v>
      </c>
      <c r="I235" s="51">
        <f t="shared" si="19"/>
        <v>222.09600000000003</v>
      </c>
      <c r="J235" s="52" t="s">
        <v>174</v>
      </c>
      <c r="K235" s="52" t="s">
        <v>269</v>
      </c>
    </row>
    <row r="236" spans="2:11" ht="18.75" x14ac:dyDescent="0.25">
      <c r="B236" s="13">
        <f t="shared" si="20"/>
        <v>226</v>
      </c>
      <c r="C236" s="48" t="s">
        <v>79</v>
      </c>
      <c r="D236" s="49" t="s">
        <v>84</v>
      </c>
      <c r="E236" s="49" t="s">
        <v>107</v>
      </c>
      <c r="F236" s="50">
        <v>52.46</v>
      </c>
      <c r="G236" s="48"/>
      <c r="H236" s="49">
        <v>4.2</v>
      </c>
      <c r="I236" s="51">
        <f t="shared" si="19"/>
        <v>220.33200000000002</v>
      </c>
      <c r="J236" s="52" t="s">
        <v>108</v>
      </c>
      <c r="K236" s="52" t="s">
        <v>269</v>
      </c>
    </row>
    <row r="237" spans="2:11" ht="18.75" x14ac:dyDescent="0.25">
      <c r="B237" s="13">
        <f t="shared" si="20"/>
        <v>227</v>
      </c>
      <c r="C237" s="48" t="s">
        <v>79</v>
      </c>
      <c r="D237" s="49" t="s">
        <v>86</v>
      </c>
      <c r="E237" s="49" t="s">
        <v>107</v>
      </c>
      <c r="F237" s="50">
        <v>44.96</v>
      </c>
      <c r="G237" s="48"/>
      <c r="H237" s="49">
        <v>4.2</v>
      </c>
      <c r="I237" s="51">
        <f t="shared" si="19"/>
        <v>188.83200000000002</v>
      </c>
      <c r="J237" s="52" t="s">
        <v>161</v>
      </c>
      <c r="K237" s="52" t="s">
        <v>269</v>
      </c>
    </row>
    <row r="238" spans="2:11" ht="18.75" x14ac:dyDescent="0.25">
      <c r="B238" s="13">
        <f t="shared" si="20"/>
        <v>228</v>
      </c>
      <c r="C238" s="48" t="s">
        <v>79</v>
      </c>
      <c r="D238" s="49" t="s">
        <v>87</v>
      </c>
      <c r="E238" s="49" t="s">
        <v>107</v>
      </c>
      <c r="F238" s="50">
        <v>52.56</v>
      </c>
      <c r="G238" s="48"/>
      <c r="H238" s="49">
        <v>4.2</v>
      </c>
      <c r="I238" s="51">
        <f t="shared" si="19"/>
        <v>220.75200000000001</v>
      </c>
      <c r="J238" s="52" t="s">
        <v>158</v>
      </c>
      <c r="K238" s="52" t="s">
        <v>269</v>
      </c>
    </row>
    <row r="239" spans="2:11" ht="18.75" x14ac:dyDescent="0.25">
      <c r="B239" s="13">
        <f t="shared" si="20"/>
        <v>229</v>
      </c>
      <c r="C239" s="48" t="s">
        <v>79</v>
      </c>
      <c r="D239" s="49" t="s">
        <v>88</v>
      </c>
      <c r="E239" s="49" t="s">
        <v>107</v>
      </c>
      <c r="F239" s="50">
        <v>51.59</v>
      </c>
      <c r="G239" s="48"/>
      <c r="H239" s="49">
        <v>4.2</v>
      </c>
      <c r="I239" s="51">
        <f t="shared" si="19"/>
        <v>216.67800000000003</v>
      </c>
      <c r="J239" s="52" t="s">
        <v>109</v>
      </c>
      <c r="K239" s="52" t="s">
        <v>269</v>
      </c>
    </row>
    <row r="240" spans="2:11" ht="18.75" x14ac:dyDescent="0.25">
      <c r="B240" s="13">
        <f t="shared" si="20"/>
        <v>230</v>
      </c>
      <c r="C240" s="48" t="s">
        <v>79</v>
      </c>
      <c r="D240" s="49" t="s">
        <v>89</v>
      </c>
      <c r="E240" s="49" t="s">
        <v>107</v>
      </c>
      <c r="F240" s="50">
        <v>40.47</v>
      </c>
      <c r="G240" s="48"/>
      <c r="H240" s="49">
        <v>4.2</v>
      </c>
      <c r="I240" s="51">
        <f t="shared" si="19"/>
        <v>169.97399999999999</v>
      </c>
      <c r="J240" s="52" t="s">
        <v>121</v>
      </c>
      <c r="K240" s="52" t="s">
        <v>269</v>
      </c>
    </row>
    <row r="241" spans="2:14" ht="18.75" x14ac:dyDescent="0.25">
      <c r="B241" s="13">
        <f t="shared" si="20"/>
        <v>231</v>
      </c>
      <c r="C241" s="48" t="s">
        <v>79</v>
      </c>
      <c r="D241" s="49" t="s">
        <v>91</v>
      </c>
      <c r="E241" s="49" t="s">
        <v>107</v>
      </c>
      <c r="F241" s="50">
        <v>40.47</v>
      </c>
      <c r="G241" s="48"/>
      <c r="H241" s="49">
        <v>4.2</v>
      </c>
      <c r="I241" s="51">
        <f t="shared" si="19"/>
        <v>169.97399999999999</v>
      </c>
      <c r="J241" s="52" t="s">
        <v>176</v>
      </c>
      <c r="K241" s="52" t="s">
        <v>269</v>
      </c>
    </row>
    <row r="242" spans="2:14" ht="18.75" x14ac:dyDescent="0.25">
      <c r="B242" s="13">
        <f t="shared" si="20"/>
        <v>232</v>
      </c>
      <c r="C242" s="48" t="s">
        <v>79</v>
      </c>
      <c r="D242" s="49" t="s">
        <v>93</v>
      </c>
      <c r="E242" s="49" t="s">
        <v>107</v>
      </c>
      <c r="F242" s="50">
        <v>52.88</v>
      </c>
      <c r="G242" s="48"/>
      <c r="H242" s="49">
        <v>4.2</v>
      </c>
      <c r="I242" s="51">
        <f t="shared" si="19"/>
        <v>222.09600000000003</v>
      </c>
      <c r="J242" s="52" t="s">
        <v>177</v>
      </c>
      <c r="K242" s="52" t="s">
        <v>269</v>
      </c>
    </row>
    <row r="243" spans="2:14" ht="18.75" x14ac:dyDescent="0.25">
      <c r="B243" s="13">
        <f t="shared" si="20"/>
        <v>233</v>
      </c>
      <c r="C243" s="48" t="s">
        <v>79</v>
      </c>
      <c r="D243" s="49" t="s">
        <v>84</v>
      </c>
      <c r="E243" s="49" t="s">
        <v>110</v>
      </c>
      <c r="F243" s="50">
        <v>52.46</v>
      </c>
      <c r="G243" s="48"/>
      <c r="H243" s="49">
        <v>4.2</v>
      </c>
      <c r="I243" s="51">
        <f t="shared" si="19"/>
        <v>220.33200000000002</v>
      </c>
      <c r="J243" s="52" t="s">
        <v>111</v>
      </c>
      <c r="K243" s="52" t="s">
        <v>269</v>
      </c>
    </row>
    <row r="244" spans="2:14" ht="18.75" x14ac:dyDescent="0.25">
      <c r="B244" s="13">
        <f t="shared" si="20"/>
        <v>234</v>
      </c>
      <c r="C244" s="48" t="s">
        <v>79</v>
      </c>
      <c r="D244" s="49" t="s">
        <v>86</v>
      </c>
      <c r="E244" s="49" t="s">
        <v>110</v>
      </c>
      <c r="F244" s="50">
        <v>42.54</v>
      </c>
      <c r="G244" s="48"/>
      <c r="H244" s="49">
        <v>4.2</v>
      </c>
      <c r="I244" s="51">
        <f t="shared" si="19"/>
        <v>178.66800000000001</v>
      </c>
      <c r="J244" s="52" t="s">
        <v>36</v>
      </c>
      <c r="K244" s="52" t="s">
        <v>269</v>
      </c>
    </row>
    <row r="245" spans="2:14" ht="18.75" x14ac:dyDescent="0.3">
      <c r="B245" s="13">
        <f t="shared" si="20"/>
        <v>235</v>
      </c>
      <c r="C245" s="53" t="s">
        <v>79</v>
      </c>
      <c r="D245" s="54" t="s">
        <v>87</v>
      </c>
      <c r="E245" s="54" t="s">
        <v>110</v>
      </c>
      <c r="F245" s="51">
        <v>52.56</v>
      </c>
      <c r="G245" s="53"/>
      <c r="H245" s="49">
        <v>4.2</v>
      </c>
      <c r="I245" s="51">
        <f t="shared" si="19"/>
        <v>220.75200000000001</v>
      </c>
      <c r="J245" s="55" t="s">
        <v>178</v>
      </c>
      <c r="K245" s="52" t="s">
        <v>269</v>
      </c>
      <c r="L245" s="23">
        <f>+I245</f>
        <v>220.75200000000001</v>
      </c>
      <c r="M245" s="24"/>
      <c r="N245" s="24"/>
    </row>
    <row r="246" spans="2:14" ht="18.75" x14ac:dyDescent="0.3">
      <c r="B246" s="13">
        <f t="shared" si="20"/>
        <v>236</v>
      </c>
      <c r="C246" s="53" t="s">
        <v>79</v>
      </c>
      <c r="D246" s="54" t="s">
        <v>88</v>
      </c>
      <c r="E246" s="54" t="s">
        <v>110</v>
      </c>
      <c r="F246" s="51">
        <v>51.59</v>
      </c>
      <c r="G246" s="53"/>
      <c r="H246" s="49">
        <v>4.2</v>
      </c>
      <c r="I246" s="51">
        <f t="shared" si="19"/>
        <v>216.67800000000003</v>
      </c>
      <c r="J246" s="55" t="s">
        <v>178</v>
      </c>
      <c r="K246" s="52" t="s">
        <v>269</v>
      </c>
      <c r="L246" s="23">
        <f>+I246</f>
        <v>216.67800000000003</v>
      </c>
      <c r="M246" s="24"/>
      <c r="N246" s="24"/>
    </row>
    <row r="247" spans="2:14" ht="18.75" x14ac:dyDescent="0.25">
      <c r="B247" s="13">
        <f t="shared" si="20"/>
        <v>237</v>
      </c>
      <c r="C247" s="48" t="s">
        <v>79</v>
      </c>
      <c r="D247" s="49" t="s">
        <v>89</v>
      </c>
      <c r="E247" s="49" t="s">
        <v>110</v>
      </c>
      <c r="F247" s="50">
        <v>40.47</v>
      </c>
      <c r="G247" s="48"/>
      <c r="H247" s="49">
        <v>4.2</v>
      </c>
      <c r="I247" s="51">
        <f t="shared" si="19"/>
        <v>169.97399999999999</v>
      </c>
      <c r="J247" s="52" t="s">
        <v>101</v>
      </c>
      <c r="K247" s="52" t="s">
        <v>269</v>
      </c>
    </row>
    <row r="248" spans="2:14" ht="18.75" x14ac:dyDescent="0.25">
      <c r="B248" s="13">
        <f t="shared" si="20"/>
        <v>238</v>
      </c>
      <c r="C248" s="48" t="s">
        <v>79</v>
      </c>
      <c r="D248" s="49" t="s">
        <v>91</v>
      </c>
      <c r="E248" s="49" t="s">
        <v>110</v>
      </c>
      <c r="F248" s="50">
        <v>40.47</v>
      </c>
      <c r="G248" s="48"/>
      <c r="H248" s="49">
        <v>4.2</v>
      </c>
      <c r="I248" s="51">
        <f t="shared" si="19"/>
        <v>169.97399999999999</v>
      </c>
      <c r="J248" s="52" t="s">
        <v>176</v>
      </c>
      <c r="K248" s="52" t="s">
        <v>269</v>
      </c>
    </row>
    <row r="249" spans="2:14" ht="18.75" x14ac:dyDescent="0.25">
      <c r="B249" s="13">
        <f t="shared" si="20"/>
        <v>239</v>
      </c>
      <c r="C249" s="48" t="s">
        <v>79</v>
      </c>
      <c r="D249" s="49" t="s">
        <v>93</v>
      </c>
      <c r="E249" s="49" t="s">
        <v>110</v>
      </c>
      <c r="F249" s="50">
        <v>52.88</v>
      </c>
      <c r="G249" s="48"/>
      <c r="H249" s="49">
        <v>4.2</v>
      </c>
      <c r="I249" s="51">
        <f t="shared" si="19"/>
        <v>222.09600000000003</v>
      </c>
      <c r="J249" s="52" t="s">
        <v>111</v>
      </c>
      <c r="K249" s="52" t="s">
        <v>269</v>
      </c>
    </row>
    <row r="250" spans="2:14" ht="18.75" x14ac:dyDescent="0.25">
      <c r="B250" s="42">
        <f t="shared" si="20"/>
        <v>240</v>
      </c>
      <c r="C250" s="43" t="s">
        <v>112</v>
      </c>
      <c r="D250" s="44" t="s">
        <v>84</v>
      </c>
      <c r="E250" s="44" t="s">
        <v>113</v>
      </c>
      <c r="F250" s="45">
        <v>100.64</v>
      </c>
      <c r="G250" s="43"/>
      <c r="H250" s="44">
        <v>2.4</v>
      </c>
      <c r="I250" s="46">
        <f t="shared" si="19"/>
        <v>241.536</v>
      </c>
      <c r="J250" s="42" t="s">
        <v>36</v>
      </c>
      <c r="K250" s="42" t="s">
        <v>270</v>
      </c>
    </row>
    <row r="251" spans="2:14" ht="18.75" x14ac:dyDescent="0.25">
      <c r="B251" s="42">
        <f t="shared" si="20"/>
        <v>241</v>
      </c>
      <c r="C251" s="43" t="s">
        <v>112</v>
      </c>
      <c r="D251" s="44" t="s">
        <v>86</v>
      </c>
      <c r="E251" s="44" t="s">
        <v>113</v>
      </c>
      <c r="F251" s="45">
        <v>100.63</v>
      </c>
      <c r="G251" s="43"/>
      <c r="H251" s="44">
        <v>2.4</v>
      </c>
      <c r="I251" s="46">
        <f t="shared" si="19"/>
        <v>241.51199999999997</v>
      </c>
      <c r="J251" s="42" t="s">
        <v>129</v>
      </c>
      <c r="K251" s="42" t="s">
        <v>270</v>
      </c>
    </row>
    <row r="252" spans="2:14" ht="18.75" x14ac:dyDescent="0.25">
      <c r="B252" s="42">
        <f t="shared" si="20"/>
        <v>242</v>
      </c>
      <c r="C252" s="43" t="s">
        <v>112</v>
      </c>
      <c r="D252" s="44" t="s">
        <v>87</v>
      </c>
      <c r="E252" s="44" t="s">
        <v>113</v>
      </c>
      <c r="F252" s="45">
        <v>89.28</v>
      </c>
      <c r="G252" s="43"/>
      <c r="H252" s="44">
        <v>2.4</v>
      </c>
      <c r="I252" s="46">
        <f t="shared" si="19"/>
        <v>214.27199999999999</v>
      </c>
      <c r="J252" s="42" t="s">
        <v>179</v>
      </c>
      <c r="K252" s="42" t="s">
        <v>270</v>
      </c>
    </row>
    <row r="253" spans="2:14" ht="18.75" x14ac:dyDescent="0.25">
      <c r="B253" s="42">
        <f t="shared" si="20"/>
        <v>243</v>
      </c>
      <c r="C253" s="43" t="s">
        <v>112</v>
      </c>
      <c r="D253" s="44" t="s">
        <v>88</v>
      </c>
      <c r="E253" s="44" t="s">
        <v>113</v>
      </c>
      <c r="F253" s="45">
        <v>89.22</v>
      </c>
      <c r="G253" s="43"/>
      <c r="H253" s="44">
        <v>2.4</v>
      </c>
      <c r="I253" s="46">
        <f t="shared" si="19"/>
        <v>214.12799999999999</v>
      </c>
      <c r="J253" s="42" t="s">
        <v>180</v>
      </c>
      <c r="K253" s="42" t="s">
        <v>270</v>
      </c>
    </row>
    <row r="254" spans="2:14" ht="18.75" x14ac:dyDescent="0.25">
      <c r="B254" s="42">
        <f t="shared" si="20"/>
        <v>244</v>
      </c>
      <c r="C254" s="43" t="s">
        <v>112</v>
      </c>
      <c r="D254" s="44" t="s">
        <v>84</v>
      </c>
      <c r="E254" s="44" t="s">
        <v>114</v>
      </c>
      <c r="F254" s="45">
        <v>100.46</v>
      </c>
      <c r="G254" s="43"/>
      <c r="H254" s="44">
        <v>2.4</v>
      </c>
      <c r="I254" s="46">
        <f t="shared" si="19"/>
        <v>241.10399999999998</v>
      </c>
      <c r="J254" s="42" t="s">
        <v>35</v>
      </c>
      <c r="K254" s="42" t="s">
        <v>270</v>
      </c>
    </row>
    <row r="255" spans="2:14" ht="18.75" x14ac:dyDescent="0.25">
      <c r="B255" s="42">
        <f t="shared" si="20"/>
        <v>245</v>
      </c>
      <c r="C255" s="43" t="s">
        <v>112</v>
      </c>
      <c r="D255" s="44" t="s">
        <v>86</v>
      </c>
      <c r="E255" s="44" t="s">
        <v>114</v>
      </c>
      <c r="F255" s="45">
        <v>100.46</v>
      </c>
      <c r="G255" s="43"/>
      <c r="H255" s="44">
        <v>2.4</v>
      </c>
      <c r="I255" s="46">
        <f t="shared" si="19"/>
        <v>241.10399999999998</v>
      </c>
      <c r="J255" s="42" t="s">
        <v>181</v>
      </c>
      <c r="K255" s="42" t="s">
        <v>270</v>
      </c>
    </row>
    <row r="256" spans="2:14" ht="18.75" x14ac:dyDescent="0.25">
      <c r="B256" s="42">
        <f t="shared" si="20"/>
        <v>246</v>
      </c>
      <c r="C256" s="43" t="s">
        <v>112</v>
      </c>
      <c r="D256" s="44" t="s">
        <v>87</v>
      </c>
      <c r="E256" s="44" t="s">
        <v>115</v>
      </c>
      <c r="F256" s="45">
        <v>91.09</v>
      </c>
      <c r="G256" s="43"/>
      <c r="H256" s="44">
        <v>2.4</v>
      </c>
      <c r="I256" s="46">
        <f t="shared" si="19"/>
        <v>218.61600000000001</v>
      </c>
      <c r="J256" s="42" t="s">
        <v>28</v>
      </c>
      <c r="K256" s="42" t="s">
        <v>270</v>
      </c>
    </row>
    <row r="257" spans="2:11" ht="18.75" x14ac:dyDescent="0.25">
      <c r="B257" s="42">
        <f t="shared" si="20"/>
        <v>247</v>
      </c>
      <c r="C257" s="43" t="s">
        <v>112</v>
      </c>
      <c r="D257" s="44" t="s">
        <v>88</v>
      </c>
      <c r="E257" s="44" t="s">
        <v>115</v>
      </c>
      <c r="F257" s="45">
        <v>91.09</v>
      </c>
      <c r="G257" s="62"/>
      <c r="H257" s="44">
        <v>2.4</v>
      </c>
      <c r="I257" s="46">
        <f t="shared" si="19"/>
        <v>218.61600000000001</v>
      </c>
      <c r="J257" s="42" t="s">
        <v>67</v>
      </c>
      <c r="K257" s="42" t="s">
        <v>270</v>
      </c>
    </row>
    <row r="258" spans="2:11" ht="18.75" x14ac:dyDescent="0.25">
      <c r="B258" s="42">
        <f t="shared" si="20"/>
        <v>248</v>
      </c>
      <c r="C258" s="43" t="s">
        <v>112</v>
      </c>
      <c r="D258" s="44" t="s">
        <v>84</v>
      </c>
      <c r="E258" s="44" t="s">
        <v>116</v>
      </c>
      <c r="F258" s="45">
        <v>154.03</v>
      </c>
      <c r="G258" s="43"/>
      <c r="H258" s="44">
        <v>2.4</v>
      </c>
      <c r="I258" s="46">
        <f t="shared" si="19"/>
        <v>369.67199999999997</v>
      </c>
      <c r="J258" s="42" t="s">
        <v>18</v>
      </c>
      <c r="K258" s="42" t="s">
        <v>270</v>
      </c>
    </row>
    <row r="259" spans="2:11" ht="18.75" x14ac:dyDescent="0.25">
      <c r="B259" s="42">
        <f t="shared" si="20"/>
        <v>249</v>
      </c>
      <c r="C259" s="43" t="s">
        <v>112</v>
      </c>
      <c r="D259" s="44" t="s">
        <v>86</v>
      </c>
      <c r="E259" s="44" t="s">
        <v>116</v>
      </c>
      <c r="F259" s="45">
        <v>153.94999999999999</v>
      </c>
      <c r="G259" s="43"/>
      <c r="H259" s="44">
        <v>2.4</v>
      </c>
      <c r="I259" s="46">
        <f t="shared" si="19"/>
        <v>369.47999999999996</v>
      </c>
      <c r="J259" s="42" t="s">
        <v>57</v>
      </c>
      <c r="K259" s="42" t="s">
        <v>270</v>
      </c>
    </row>
    <row r="260" spans="2:11" ht="18.75" x14ac:dyDescent="0.25">
      <c r="B260" s="42">
        <f t="shared" si="20"/>
        <v>250</v>
      </c>
      <c r="C260" s="43" t="s">
        <v>112</v>
      </c>
      <c r="D260" s="44" t="s">
        <v>87</v>
      </c>
      <c r="E260" s="44" t="s">
        <v>116</v>
      </c>
      <c r="F260" s="45">
        <v>42.07</v>
      </c>
      <c r="G260" s="43"/>
      <c r="H260" s="44">
        <v>2.4</v>
      </c>
      <c r="I260" s="46">
        <f t="shared" si="19"/>
        <v>100.968</v>
      </c>
      <c r="J260" s="42" t="s">
        <v>117</v>
      </c>
      <c r="K260" s="42" t="s">
        <v>270</v>
      </c>
    </row>
    <row r="261" spans="2:11" ht="18.75" x14ac:dyDescent="0.25">
      <c r="B261" s="42">
        <f t="shared" si="20"/>
        <v>251</v>
      </c>
      <c r="C261" s="43" t="s">
        <v>112</v>
      </c>
      <c r="D261" s="44" t="s">
        <v>88</v>
      </c>
      <c r="E261" s="44" t="s">
        <v>116</v>
      </c>
      <c r="F261" s="45">
        <v>41.94</v>
      </c>
      <c r="G261" s="43"/>
      <c r="H261" s="44">
        <v>2.4</v>
      </c>
      <c r="I261" s="46">
        <f t="shared" si="19"/>
        <v>100.65599999999999</v>
      </c>
      <c r="J261" s="42" t="s">
        <v>118</v>
      </c>
      <c r="K261" s="42" t="s">
        <v>270</v>
      </c>
    </row>
    <row r="262" spans="2:11" ht="18.75" x14ac:dyDescent="0.25">
      <c r="B262" s="42">
        <f t="shared" si="20"/>
        <v>252</v>
      </c>
      <c r="C262" s="43" t="s">
        <v>112</v>
      </c>
      <c r="D262" s="44" t="s">
        <v>84</v>
      </c>
      <c r="E262" s="44" t="s">
        <v>119</v>
      </c>
      <c r="F262" s="45">
        <v>154.03</v>
      </c>
      <c r="G262" s="43"/>
      <c r="H262" s="44">
        <v>2.4</v>
      </c>
      <c r="I262" s="46">
        <f t="shared" si="19"/>
        <v>369.67199999999997</v>
      </c>
      <c r="J262" s="42" t="s">
        <v>277</v>
      </c>
      <c r="K262" s="42" t="s">
        <v>270</v>
      </c>
    </row>
    <row r="263" spans="2:11" ht="18.75" x14ac:dyDescent="0.25">
      <c r="B263" s="42">
        <f t="shared" si="20"/>
        <v>253</v>
      </c>
      <c r="C263" s="43" t="s">
        <v>112</v>
      </c>
      <c r="D263" s="44" t="s">
        <v>86</v>
      </c>
      <c r="E263" s="44" t="s">
        <v>119</v>
      </c>
      <c r="F263" s="45">
        <v>153.94999999999999</v>
      </c>
      <c r="G263" s="43"/>
      <c r="H263" s="44">
        <v>2.4</v>
      </c>
      <c r="I263" s="46">
        <f t="shared" si="19"/>
        <v>369.47999999999996</v>
      </c>
      <c r="J263" s="42" t="s">
        <v>182</v>
      </c>
      <c r="K263" s="42" t="s">
        <v>270</v>
      </c>
    </row>
    <row r="264" spans="2:11" ht="18.75" x14ac:dyDescent="0.25">
      <c r="B264" s="42">
        <f t="shared" si="20"/>
        <v>254</v>
      </c>
      <c r="C264" s="43" t="s">
        <v>112</v>
      </c>
      <c r="D264" s="44" t="s">
        <v>87</v>
      </c>
      <c r="E264" s="44" t="s">
        <v>119</v>
      </c>
      <c r="F264" s="45">
        <v>42.07</v>
      </c>
      <c r="G264" s="43"/>
      <c r="H264" s="44">
        <v>2.4</v>
      </c>
      <c r="I264" s="46">
        <f t="shared" si="19"/>
        <v>100.968</v>
      </c>
      <c r="J264" s="42" t="s">
        <v>21</v>
      </c>
      <c r="K264" s="42" t="s">
        <v>270</v>
      </c>
    </row>
    <row r="265" spans="2:11" ht="18.75" x14ac:dyDescent="0.25">
      <c r="B265" s="42">
        <f t="shared" si="20"/>
        <v>255</v>
      </c>
      <c r="C265" s="43" t="s">
        <v>112</v>
      </c>
      <c r="D265" s="44" t="s">
        <v>88</v>
      </c>
      <c r="E265" s="44" t="s">
        <v>119</v>
      </c>
      <c r="F265" s="45">
        <v>41.94</v>
      </c>
      <c r="G265" s="43"/>
      <c r="H265" s="44">
        <v>2.4</v>
      </c>
      <c r="I265" s="46">
        <f t="shared" si="19"/>
        <v>100.65599999999999</v>
      </c>
      <c r="J265" s="42" t="s">
        <v>56</v>
      </c>
      <c r="K265" s="42" t="s">
        <v>270</v>
      </c>
    </row>
    <row r="266" spans="2:11" ht="18.75" x14ac:dyDescent="0.25">
      <c r="B266" s="42">
        <f t="shared" si="20"/>
        <v>256</v>
      </c>
      <c r="C266" s="43" t="s">
        <v>112</v>
      </c>
      <c r="D266" s="44" t="s">
        <v>84</v>
      </c>
      <c r="E266" s="44" t="s">
        <v>120</v>
      </c>
      <c r="F266" s="45">
        <v>153.87</v>
      </c>
      <c r="G266" s="43"/>
      <c r="H266" s="44">
        <v>2.4</v>
      </c>
      <c r="I266" s="46">
        <f t="shared" si="19"/>
        <v>369.28800000000001</v>
      </c>
      <c r="J266" s="42" t="s">
        <v>121</v>
      </c>
      <c r="K266" s="42" t="s">
        <v>270</v>
      </c>
    </row>
    <row r="267" spans="2:11" ht="18.75" x14ac:dyDescent="0.25">
      <c r="B267" s="42">
        <f t="shared" si="20"/>
        <v>257</v>
      </c>
      <c r="C267" s="43" t="s">
        <v>112</v>
      </c>
      <c r="D267" s="44" t="s">
        <v>86</v>
      </c>
      <c r="E267" s="44" t="s">
        <v>120</v>
      </c>
      <c r="F267" s="45">
        <v>147.97</v>
      </c>
      <c r="G267" s="43"/>
      <c r="H267" s="44">
        <v>2.4</v>
      </c>
      <c r="I267" s="46">
        <f t="shared" ref="I267:I319" si="21">F267*H267</f>
        <v>355.12799999999999</v>
      </c>
      <c r="J267" s="42" t="s">
        <v>39</v>
      </c>
      <c r="K267" s="42" t="s">
        <v>270</v>
      </c>
    </row>
    <row r="268" spans="2:11" ht="18.75" x14ac:dyDescent="0.25">
      <c r="B268" s="42">
        <f t="shared" si="20"/>
        <v>258</v>
      </c>
      <c r="C268" s="43" t="s">
        <v>112</v>
      </c>
      <c r="D268" s="44" t="s">
        <v>87</v>
      </c>
      <c r="E268" s="44" t="s">
        <v>120</v>
      </c>
      <c r="F268" s="45">
        <v>47.92</v>
      </c>
      <c r="G268" s="43"/>
      <c r="H268" s="44">
        <v>2.4</v>
      </c>
      <c r="I268" s="46">
        <f t="shared" si="21"/>
        <v>115.008</v>
      </c>
      <c r="J268" s="42" t="s">
        <v>122</v>
      </c>
      <c r="K268" s="42" t="s">
        <v>270</v>
      </c>
    </row>
    <row r="269" spans="2:11" ht="18.75" x14ac:dyDescent="0.25">
      <c r="B269" s="42">
        <f t="shared" ref="B269:B319" si="22">+B268+1</f>
        <v>259</v>
      </c>
      <c r="C269" s="43" t="s">
        <v>112</v>
      </c>
      <c r="D269" s="44" t="s">
        <v>88</v>
      </c>
      <c r="E269" s="44" t="s">
        <v>120</v>
      </c>
      <c r="F269" s="45">
        <v>41.95</v>
      </c>
      <c r="G269" s="43"/>
      <c r="H269" s="44">
        <v>2.4</v>
      </c>
      <c r="I269" s="46">
        <f t="shared" si="21"/>
        <v>100.68</v>
      </c>
      <c r="J269" s="42" t="s">
        <v>123</v>
      </c>
      <c r="K269" s="42" t="s">
        <v>270</v>
      </c>
    </row>
    <row r="270" spans="2:11" ht="18.75" x14ac:dyDescent="0.25">
      <c r="B270" s="42">
        <f t="shared" si="22"/>
        <v>260</v>
      </c>
      <c r="C270" s="43" t="s">
        <v>112</v>
      </c>
      <c r="D270" s="44" t="s">
        <v>84</v>
      </c>
      <c r="E270" s="44" t="s">
        <v>124</v>
      </c>
      <c r="F270" s="45">
        <v>154.03</v>
      </c>
      <c r="G270" s="43"/>
      <c r="H270" s="44">
        <v>2.4</v>
      </c>
      <c r="I270" s="46">
        <f t="shared" si="21"/>
        <v>369.67199999999997</v>
      </c>
      <c r="J270" s="42" t="s">
        <v>26</v>
      </c>
      <c r="K270" s="42" t="s">
        <v>270</v>
      </c>
    </row>
    <row r="271" spans="2:11" ht="18.75" x14ac:dyDescent="0.25">
      <c r="B271" s="42">
        <f t="shared" si="22"/>
        <v>261</v>
      </c>
      <c r="C271" s="43" t="s">
        <v>112</v>
      </c>
      <c r="D271" s="44" t="s">
        <v>86</v>
      </c>
      <c r="E271" s="44" t="s">
        <v>124</v>
      </c>
      <c r="F271" s="45">
        <v>153.94999999999999</v>
      </c>
      <c r="G271" s="43"/>
      <c r="H271" s="44">
        <v>2.4</v>
      </c>
      <c r="I271" s="46">
        <f t="shared" si="21"/>
        <v>369.47999999999996</v>
      </c>
      <c r="J271" s="42" t="s">
        <v>33</v>
      </c>
      <c r="K271" s="42" t="s">
        <v>270</v>
      </c>
    </row>
    <row r="272" spans="2:11" ht="18.75" x14ac:dyDescent="0.25">
      <c r="B272" s="42">
        <f t="shared" si="22"/>
        <v>262</v>
      </c>
      <c r="C272" s="43" t="s">
        <v>112</v>
      </c>
      <c r="D272" s="44" t="s">
        <v>87</v>
      </c>
      <c r="E272" s="44" t="s">
        <v>125</v>
      </c>
      <c r="F272" s="45">
        <v>42.07</v>
      </c>
      <c r="G272" s="43"/>
      <c r="H272" s="44">
        <v>2.4</v>
      </c>
      <c r="I272" s="46">
        <f t="shared" si="21"/>
        <v>100.968</v>
      </c>
      <c r="J272" s="42" t="s">
        <v>126</v>
      </c>
      <c r="K272" s="42" t="s">
        <v>270</v>
      </c>
    </row>
    <row r="273" spans="2:11" ht="18.75" x14ac:dyDescent="0.25">
      <c r="B273" s="42">
        <f t="shared" si="22"/>
        <v>263</v>
      </c>
      <c r="C273" s="43" t="s">
        <v>112</v>
      </c>
      <c r="D273" s="44" t="s">
        <v>88</v>
      </c>
      <c r="E273" s="44" t="s">
        <v>125</v>
      </c>
      <c r="F273" s="45">
        <v>41.94</v>
      </c>
      <c r="G273" s="43"/>
      <c r="H273" s="44">
        <v>2.4</v>
      </c>
      <c r="I273" s="46">
        <f t="shared" si="21"/>
        <v>100.65599999999999</v>
      </c>
      <c r="J273" s="42" t="s">
        <v>127</v>
      </c>
      <c r="K273" s="42" t="s">
        <v>270</v>
      </c>
    </row>
    <row r="274" spans="2:11" ht="18.75" x14ac:dyDescent="0.25">
      <c r="B274" s="42">
        <f t="shared" si="22"/>
        <v>264</v>
      </c>
      <c r="C274" s="43" t="s">
        <v>112</v>
      </c>
      <c r="D274" s="44" t="s">
        <v>84</v>
      </c>
      <c r="E274" s="44" t="s">
        <v>128</v>
      </c>
      <c r="F274" s="45">
        <v>153.87</v>
      </c>
      <c r="G274" s="43"/>
      <c r="H274" s="44">
        <v>2.4</v>
      </c>
      <c r="I274" s="46">
        <f t="shared" si="21"/>
        <v>369.28800000000001</v>
      </c>
      <c r="J274" s="42" t="s">
        <v>183</v>
      </c>
      <c r="K274" s="42" t="s">
        <v>270</v>
      </c>
    </row>
    <row r="275" spans="2:11" ht="18.75" x14ac:dyDescent="0.25">
      <c r="B275" s="42">
        <f t="shared" si="22"/>
        <v>265</v>
      </c>
      <c r="C275" s="43" t="s">
        <v>112</v>
      </c>
      <c r="D275" s="44" t="s">
        <v>86</v>
      </c>
      <c r="E275" s="44" t="s">
        <v>128</v>
      </c>
      <c r="F275" s="45">
        <v>147.97</v>
      </c>
      <c r="G275" s="43"/>
      <c r="H275" s="44">
        <v>2.4</v>
      </c>
      <c r="I275" s="46">
        <f t="shared" si="21"/>
        <v>355.12799999999999</v>
      </c>
      <c r="J275" s="42" t="s">
        <v>129</v>
      </c>
      <c r="K275" s="42" t="s">
        <v>270</v>
      </c>
    </row>
    <row r="276" spans="2:11" ht="18.75" x14ac:dyDescent="0.25">
      <c r="B276" s="42">
        <f t="shared" si="22"/>
        <v>266</v>
      </c>
      <c r="C276" s="43" t="s">
        <v>112</v>
      </c>
      <c r="D276" s="44" t="s">
        <v>87</v>
      </c>
      <c r="E276" s="44" t="s">
        <v>128</v>
      </c>
      <c r="F276" s="45">
        <v>47.92</v>
      </c>
      <c r="G276" s="43"/>
      <c r="H276" s="44">
        <v>2.4</v>
      </c>
      <c r="I276" s="46">
        <f t="shared" si="21"/>
        <v>115.008</v>
      </c>
      <c r="J276" s="42" t="s">
        <v>130</v>
      </c>
      <c r="K276" s="42" t="s">
        <v>270</v>
      </c>
    </row>
    <row r="277" spans="2:11" ht="18.75" x14ac:dyDescent="0.25">
      <c r="B277" s="42">
        <f t="shared" si="22"/>
        <v>267</v>
      </c>
      <c r="C277" s="43" t="s">
        <v>112</v>
      </c>
      <c r="D277" s="44" t="s">
        <v>88</v>
      </c>
      <c r="E277" s="44" t="s">
        <v>128</v>
      </c>
      <c r="F277" s="45">
        <v>41.95</v>
      </c>
      <c r="G277" s="43"/>
      <c r="H277" s="44">
        <v>2.4</v>
      </c>
      <c r="I277" s="46">
        <f t="shared" si="21"/>
        <v>100.68</v>
      </c>
      <c r="J277" s="42" t="s">
        <v>37</v>
      </c>
      <c r="K277" s="42" t="s">
        <v>270</v>
      </c>
    </row>
    <row r="278" spans="2:11" ht="18.75" x14ac:dyDescent="0.25">
      <c r="B278" s="42">
        <f t="shared" si="22"/>
        <v>268</v>
      </c>
      <c r="C278" s="43" t="s">
        <v>112</v>
      </c>
      <c r="D278" s="44" t="s">
        <v>84</v>
      </c>
      <c r="E278" s="44" t="s">
        <v>131</v>
      </c>
      <c r="F278" s="45">
        <v>153.87</v>
      </c>
      <c r="G278" s="43"/>
      <c r="H278" s="44">
        <v>2.4</v>
      </c>
      <c r="I278" s="46">
        <f t="shared" si="21"/>
        <v>369.28800000000001</v>
      </c>
      <c r="J278" s="42" t="s">
        <v>54</v>
      </c>
      <c r="K278" s="42" t="s">
        <v>270</v>
      </c>
    </row>
    <row r="279" spans="2:11" ht="18.75" x14ac:dyDescent="0.25">
      <c r="B279" s="42">
        <f t="shared" si="22"/>
        <v>269</v>
      </c>
      <c r="C279" s="43" t="s">
        <v>112</v>
      </c>
      <c r="D279" s="44" t="s">
        <v>86</v>
      </c>
      <c r="E279" s="44" t="s">
        <v>131</v>
      </c>
      <c r="F279" s="45">
        <v>147.97</v>
      </c>
      <c r="G279" s="43"/>
      <c r="H279" s="44">
        <v>2.4</v>
      </c>
      <c r="I279" s="46">
        <f t="shared" si="21"/>
        <v>355.12799999999999</v>
      </c>
      <c r="J279" s="42" t="s">
        <v>22</v>
      </c>
      <c r="K279" s="42" t="s">
        <v>270</v>
      </c>
    </row>
    <row r="280" spans="2:11" ht="18.75" x14ac:dyDescent="0.25">
      <c r="B280" s="42">
        <f t="shared" si="22"/>
        <v>270</v>
      </c>
      <c r="C280" s="43" t="s">
        <v>112</v>
      </c>
      <c r="D280" s="44" t="s">
        <v>87</v>
      </c>
      <c r="E280" s="44" t="s">
        <v>131</v>
      </c>
      <c r="F280" s="45">
        <v>47.92</v>
      </c>
      <c r="G280" s="43"/>
      <c r="H280" s="44">
        <v>2.4</v>
      </c>
      <c r="I280" s="46">
        <f t="shared" si="21"/>
        <v>115.008</v>
      </c>
      <c r="J280" s="42" t="s">
        <v>68</v>
      </c>
      <c r="K280" s="42" t="s">
        <v>270</v>
      </c>
    </row>
    <row r="281" spans="2:11" ht="18.75" x14ac:dyDescent="0.25">
      <c r="B281" s="42">
        <f t="shared" si="22"/>
        <v>271</v>
      </c>
      <c r="C281" s="43" t="s">
        <v>112</v>
      </c>
      <c r="D281" s="44" t="s">
        <v>88</v>
      </c>
      <c r="E281" s="44" t="s">
        <v>131</v>
      </c>
      <c r="F281" s="45">
        <v>41.95</v>
      </c>
      <c r="G281" s="43"/>
      <c r="H281" s="44">
        <v>2.4</v>
      </c>
      <c r="I281" s="46">
        <f t="shared" si="21"/>
        <v>100.68</v>
      </c>
      <c r="J281" s="42" t="s">
        <v>132</v>
      </c>
      <c r="K281" s="42" t="s">
        <v>270</v>
      </c>
    </row>
    <row r="282" spans="2:11" ht="18.75" x14ac:dyDescent="0.25">
      <c r="B282" s="42">
        <f t="shared" si="22"/>
        <v>272</v>
      </c>
      <c r="C282" s="43" t="s">
        <v>112</v>
      </c>
      <c r="D282" s="44" t="s">
        <v>84</v>
      </c>
      <c r="E282" s="44" t="s">
        <v>133</v>
      </c>
      <c r="F282" s="45">
        <v>148.04</v>
      </c>
      <c r="G282" s="43"/>
      <c r="H282" s="44">
        <v>2.4</v>
      </c>
      <c r="I282" s="46">
        <f t="shared" si="21"/>
        <v>355.29599999999999</v>
      </c>
      <c r="J282" s="42" t="s">
        <v>134</v>
      </c>
      <c r="K282" s="42" t="s">
        <v>270</v>
      </c>
    </row>
    <row r="283" spans="2:11" ht="18.75" x14ac:dyDescent="0.25">
      <c r="B283" s="42">
        <f t="shared" si="22"/>
        <v>273</v>
      </c>
      <c r="C283" s="43" t="s">
        <v>112</v>
      </c>
      <c r="D283" s="44" t="s">
        <v>86</v>
      </c>
      <c r="E283" s="44" t="s">
        <v>133</v>
      </c>
      <c r="F283" s="45">
        <v>147.97</v>
      </c>
      <c r="G283" s="43"/>
      <c r="H283" s="44">
        <v>2.4</v>
      </c>
      <c r="I283" s="46">
        <f t="shared" si="21"/>
        <v>355.12799999999999</v>
      </c>
      <c r="J283" s="42" t="s">
        <v>135</v>
      </c>
      <c r="K283" s="42" t="s">
        <v>270</v>
      </c>
    </row>
    <row r="284" spans="2:11" ht="18.75" x14ac:dyDescent="0.25">
      <c r="B284" s="42">
        <f t="shared" si="22"/>
        <v>274</v>
      </c>
      <c r="C284" s="43" t="s">
        <v>112</v>
      </c>
      <c r="D284" s="44" t="s">
        <v>87</v>
      </c>
      <c r="E284" s="44" t="s">
        <v>133</v>
      </c>
      <c r="F284" s="45">
        <v>47.92</v>
      </c>
      <c r="G284" s="43"/>
      <c r="H284" s="44">
        <v>2.4</v>
      </c>
      <c r="I284" s="46">
        <f t="shared" si="21"/>
        <v>115.008</v>
      </c>
      <c r="J284" s="42" t="s">
        <v>136</v>
      </c>
      <c r="K284" s="42" t="s">
        <v>270</v>
      </c>
    </row>
    <row r="285" spans="2:11" ht="18.75" x14ac:dyDescent="0.25">
      <c r="B285" s="42">
        <f t="shared" si="22"/>
        <v>275</v>
      </c>
      <c r="C285" s="43" t="s">
        <v>112</v>
      </c>
      <c r="D285" s="44" t="s">
        <v>88</v>
      </c>
      <c r="E285" s="44" t="s">
        <v>133</v>
      </c>
      <c r="F285" s="45">
        <v>47.78</v>
      </c>
      <c r="G285" s="43"/>
      <c r="H285" s="44">
        <v>2.4</v>
      </c>
      <c r="I285" s="46">
        <f t="shared" si="21"/>
        <v>114.672</v>
      </c>
      <c r="J285" s="42" t="s">
        <v>184</v>
      </c>
      <c r="K285" s="42" t="s">
        <v>270</v>
      </c>
    </row>
    <row r="286" spans="2:11" ht="18.75" x14ac:dyDescent="0.25">
      <c r="B286" s="42">
        <f t="shared" si="22"/>
        <v>276</v>
      </c>
      <c r="C286" s="43" t="s">
        <v>112</v>
      </c>
      <c r="D286" s="44" t="s">
        <v>84</v>
      </c>
      <c r="E286" s="44" t="s">
        <v>137</v>
      </c>
      <c r="F286" s="45">
        <v>153.87</v>
      </c>
      <c r="G286" s="43"/>
      <c r="H286" s="44">
        <v>2.4</v>
      </c>
      <c r="I286" s="46">
        <f t="shared" si="21"/>
        <v>369.28800000000001</v>
      </c>
      <c r="J286" s="42" t="s">
        <v>121</v>
      </c>
      <c r="K286" s="42" t="s">
        <v>270</v>
      </c>
    </row>
    <row r="287" spans="2:11" ht="18.75" x14ac:dyDescent="0.25">
      <c r="B287" s="42">
        <f t="shared" si="22"/>
        <v>277</v>
      </c>
      <c r="C287" s="43" t="s">
        <v>112</v>
      </c>
      <c r="D287" s="44" t="s">
        <v>86</v>
      </c>
      <c r="E287" s="44" t="s">
        <v>137</v>
      </c>
      <c r="F287" s="45">
        <v>147.97</v>
      </c>
      <c r="G287" s="43"/>
      <c r="H287" s="44">
        <v>2.4</v>
      </c>
      <c r="I287" s="46">
        <f t="shared" si="21"/>
        <v>355.12799999999999</v>
      </c>
      <c r="J287" s="42" t="s">
        <v>20</v>
      </c>
      <c r="K287" s="42" t="s">
        <v>270</v>
      </c>
    </row>
    <row r="288" spans="2:11" ht="18.75" x14ac:dyDescent="0.25">
      <c r="B288" s="42">
        <f t="shared" si="22"/>
        <v>278</v>
      </c>
      <c r="C288" s="43" t="s">
        <v>112</v>
      </c>
      <c r="D288" s="44" t="s">
        <v>87</v>
      </c>
      <c r="E288" s="44" t="s">
        <v>137</v>
      </c>
      <c r="F288" s="45">
        <v>47.92</v>
      </c>
      <c r="G288" s="43"/>
      <c r="H288" s="44">
        <v>2.4</v>
      </c>
      <c r="I288" s="46">
        <f t="shared" si="21"/>
        <v>115.008</v>
      </c>
      <c r="J288" s="42" t="s">
        <v>185</v>
      </c>
      <c r="K288" s="42" t="s">
        <v>270</v>
      </c>
    </row>
    <row r="289" spans="2:11" ht="18.75" x14ac:dyDescent="0.25">
      <c r="B289" s="42">
        <f t="shared" si="22"/>
        <v>279</v>
      </c>
      <c r="C289" s="43" t="s">
        <v>112</v>
      </c>
      <c r="D289" s="44" t="s">
        <v>88</v>
      </c>
      <c r="E289" s="44" t="s">
        <v>137</v>
      </c>
      <c r="F289" s="45">
        <v>41.95</v>
      </c>
      <c r="G289" s="43"/>
      <c r="H289" s="44">
        <v>2.4</v>
      </c>
      <c r="I289" s="46">
        <f t="shared" si="21"/>
        <v>100.68</v>
      </c>
      <c r="J289" s="42" t="s">
        <v>138</v>
      </c>
      <c r="K289" s="42" t="s">
        <v>270</v>
      </c>
    </row>
    <row r="290" spans="2:11" ht="18.75" x14ac:dyDescent="0.25">
      <c r="B290" s="42">
        <f t="shared" si="22"/>
        <v>280</v>
      </c>
      <c r="C290" s="43" t="s">
        <v>112</v>
      </c>
      <c r="D290" s="44" t="s">
        <v>84</v>
      </c>
      <c r="E290" s="44" t="s">
        <v>139</v>
      </c>
      <c r="F290" s="45">
        <v>148.04</v>
      </c>
      <c r="G290" s="43"/>
      <c r="H290" s="44">
        <v>2.4</v>
      </c>
      <c r="I290" s="46">
        <f t="shared" si="21"/>
        <v>355.29599999999999</v>
      </c>
      <c r="J290" s="42" t="s">
        <v>121</v>
      </c>
      <c r="K290" s="42" t="s">
        <v>270</v>
      </c>
    </row>
    <row r="291" spans="2:11" ht="18.75" x14ac:dyDescent="0.25">
      <c r="B291" s="42">
        <f t="shared" si="22"/>
        <v>281</v>
      </c>
      <c r="C291" s="43" t="s">
        <v>112</v>
      </c>
      <c r="D291" s="44" t="s">
        <v>86</v>
      </c>
      <c r="E291" s="44" t="s">
        <v>139</v>
      </c>
      <c r="F291" s="45">
        <v>147.97</v>
      </c>
      <c r="G291" s="43"/>
      <c r="H291" s="44">
        <v>2.4</v>
      </c>
      <c r="I291" s="46">
        <f t="shared" si="21"/>
        <v>355.12799999999999</v>
      </c>
      <c r="J291" s="42" t="s">
        <v>17</v>
      </c>
      <c r="K291" s="42" t="s">
        <v>270</v>
      </c>
    </row>
    <row r="292" spans="2:11" ht="18.75" x14ac:dyDescent="0.25">
      <c r="B292" s="42">
        <f t="shared" si="22"/>
        <v>282</v>
      </c>
      <c r="C292" s="43" t="s">
        <v>112</v>
      </c>
      <c r="D292" s="44" t="s">
        <v>87</v>
      </c>
      <c r="E292" s="44" t="s">
        <v>139</v>
      </c>
      <c r="F292" s="45">
        <v>47.92</v>
      </c>
      <c r="G292" s="43"/>
      <c r="H292" s="44">
        <v>2.4</v>
      </c>
      <c r="I292" s="46">
        <f t="shared" si="21"/>
        <v>115.008</v>
      </c>
      <c r="J292" s="42" t="s">
        <v>186</v>
      </c>
      <c r="K292" s="42" t="s">
        <v>270</v>
      </c>
    </row>
    <row r="293" spans="2:11" ht="18.75" x14ac:dyDescent="0.25">
      <c r="B293" s="42">
        <f t="shared" si="22"/>
        <v>283</v>
      </c>
      <c r="C293" s="43" t="s">
        <v>112</v>
      </c>
      <c r="D293" s="44" t="s">
        <v>88</v>
      </c>
      <c r="E293" s="44" t="s">
        <v>139</v>
      </c>
      <c r="F293" s="45">
        <v>47.78</v>
      </c>
      <c r="G293" s="43"/>
      <c r="H293" s="44">
        <v>2.4</v>
      </c>
      <c r="I293" s="46">
        <f t="shared" si="21"/>
        <v>114.672</v>
      </c>
      <c r="J293" s="42" t="s">
        <v>35</v>
      </c>
      <c r="K293" s="42" t="s">
        <v>270</v>
      </c>
    </row>
    <row r="294" spans="2:11" ht="18.75" x14ac:dyDescent="0.25">
      <c r="B294" s="42">
        <f t="shared" si="22"/>
        <v>284</v>
      </c>
      <c r="C294" s="43" t="s">
        <v>112</v>
      </c>
      <c r="D294" s="44" t="s">
        <v>84</v>
      </c>
      <c r="E294" s="44" t="s">
        <v>140</v>
      </c>
      <c r="F294" s="45">
        <v>153.87</v>
      </c>
      <c r="G294" s="43"/>
      <c r="H294" s="44">
        <v>2.4</v>
      </c>
      <c r="I294" s="46">
        <f t="shared" si="21"/>
        <v>369.28800000000001</v>
      </c>
      <c r="J294" s="42" t="s">
        <v>187</v>
      </c>
      <c r="K294" s="42" t="s">
        <v>270</v>
      </c>
    </row>
    <row r="295" spans="2:11" ht="18.75" x14ac:dyDescent="0.25">
      <c r="B295" s="42">
        <f t="shared" si="22"/>
        <v>285</v>
      </c>
      <c r="C295" s="43" t="s">
        <v>112</v>
      </c>
      <c r="D295" s="44" t="s">
        <v>86</v>
      </c>
      <c r="E295" s="44" t="s">
        <v>140</v>
      </c>
      <c r="F295" s="45">
        <v>147.97</v>
      </c>
      <c r="G295" s="43"/>
      <c r="H295" s="44">
        <v>2.4</v>
      </c>
      <c r="I295" s="46">
        <f t="shared" si="21"/>
        <v>355.12799999999999</v>
      </c>
      <c r="J295" s="42" t="s">
        <v>19</v>
      </c>
      <c r="K295" s="42" t="s">
        <v>270</v>
      </c>
    </row>
    <row r="296" spans="2:11" ht="18.75" x14ac:dyDescent="0.25">
      <c r="B296" s="42">
        <f t="shared" si="22"/>
        <v>286</v>
      </c>
      <c r="C296" s="43" t="s">
        <v>112</v>
      </c>
      <c r="D296" s="44" t="s">
        <v>87</v>
      </c>
      <c r="E296" s="44" t="s">
        <v>140</v>
      </c>
      <c r="F296" s="45">
        <v>47.92</v>
      </c>
      <c r="G296" s="43"/>
      <c r="H296" s="44">
        <v>2.4</v>
      </c>
      <c r="I296" s="46">
        <f t="shared" si="21"/>
        <v>115.008</v>
      </c>
      <c r="J296" s="42" t="s">
        <v>141</v>
      </c>
      <c r="K296" s="42" t="s">
        <v>270</v>
      </c>
    </row>
    <row r="297" spans="2:11" ht="18.75" x14ac:dyDescent="0.25">
      <c r="B297" s="42">
        <f t="shared" si="22"/>
        <v>287</v>
      </c>
      <c r="C297" s="43" t="s">
        <v>112</v>
      </c>
      <c r="D297" s="44" t="s">
        <v>88</v>
      </c>
      <c r="E297" s="44" t="s">
        <v>140</v>
      </c>
      <c r="F297" s="45">
        <v>41.95</v>
      </c>
      <c r="G297" s="43"/>
      <c r="H297" s="44">
        <v>2.4</v>
      </c>
      <c r="I297" s="46">
        <f t="shared" si="21"/>
        <v>100.68</v>
      </c>
      <c r="J297" s="42" t="s">
        <v>188</v>
      </c>
      <c r="K297" s="42" t="s">
        <v>270</v>
      </c>
    </row>
    <row r="298" spans="2:11" ht="18.75" x14ac:dyDescent="0.25">
      <c r="B298" s="42">
        <f t="shared" si="22"/>
        <v>288</v>
      </c>
      <c r="C298" s="43" t="s">
        <v>112</v>
      </c>
      <c r="D298" s="44" t="s">
        <v>84</v>
      </c>
      <c r="E298" s="44" t="s">
        <v>142</v>
      </c>
      <c r="F298" s="45">
        <v>148.04</v>
      </c>
      <c r="G298" s="43"/>
      <c r="H298" s="44">
        <v>2.4</v>
      </c>
      <c r="I298" s="46">
        <f t="shared" si="21"/>
        <v>355.29599999999999</v>
      </c>
      <c r="J298" s="42" t="s">
        <v>55</v>
      </c>
      <c r="K298" s="42" t="s">
        <v>270</v>
      </c>
    </row>
    <row r="299" spans="2:11" ht="18.75" x14ac:dyDescent="0.25">
      <c r="B299" s="42">
        <f t="shared" si="22"/>
        <v>289</v>
      </c>
      <c r="C299" s="43" t="s">
        <v>112</v>
      </c>
      <c r="D299" s="44" t="s">
        <v>86</v>
      </c>
      <c r="E299" s="44" t="s">
        <v>143</v>
      </c>
      <c r="F299" s="45">
        <v>147.97</v>
      </c>
      <c r="G299" s="43"/>
      <c r="H299" s="44">
        <v>2.4</v>
      </c>
      <c r="I299" s="46">
        <f t="shared" si="21"/>
        <v>355.12799999999999</v>
      </c>
      <c r="J299" s="42" t="s">
        <v>43</v>
      </c>
      <c r="K299" s="42" t="s">
        <v>270</v>
      </c>
    </row>
    <row r="300" spans="2:11" ht="18.75" x14ac:dyDescent="0.25">
      <c r="B300" s="42">
        <f t="shared" si="22"/>
        <v>290</v>
      </c>
      <c r="C300" s="43" t="s">
        <v>112</v>
      </c>
      <c r="D300" s="44" t="s">
        <v>87</v>
      </c>
      <c r="E300" s="44" t="s">
        <v>142</v>
      </c>
      <c r="F300" s="45">
        <v>47.92</v>
      </c>
      <c r="G300" s="43"/>
      <c r="H300" s="44">
        <v>2.4</v>
      </c>
      <c r="I300" s="46">
        <f t="shared" si="21"/>
        <v>115.008</v>
      </c>
      <c r="J300" s="42" t="s">
        <v>144</v>
      </c>
      <c r="K300" s="42" t="s">
        <v>270</v>
      </c>
    </row>
    <row r="301" spans="2:11" ht="18.75" x14ac:dyDescent="0.25">
      <c r="B301" s="42">
        <f t="shared" si="22"/>
        <v>291</v>
      </c>
      <c r="C301" s="43" t="s">
        <v>112</v>
      </c>
      <c r="D301" s="44" t="s">
        <v>88</v>
      </c>
      <c r="E301" s="44" t="s">
        <v>142</v>
      </c>
      <c r="F301" s="45">
        <v>47.78</v>
      </c>
      <c r="G301" s="43"/>
      <c r="H301" s="44">
        <v>2.4</v>
      </c>
      <c r="I301" s="46">
        <f t="shared" si="21"/>
        <v>114.672</v>
      </c>
      <c r="J301" s="42" t="s">
        <v>50</v>
      </c>
      <c r="K301" s="42" t="s">
        <v>270</v>
      </c>
    </row>
    <row r="302" spans="2:11" ht="18.75" x14ac:dyDescent="0.25">
      <c r="B302" s="42">
        <f t="shared" si="22"/>
        <v>292</v>
      </c>
      <c r="C302" s="43" t="s">
        <v>112</v>
      </c>
      <c r="D302" s="44" t="s">
        <v>84</v>
      </c>
      <c r="E302" s="44" t="s">
        <v>145</v>
      </c>
      <c r="F302" s="45">
        <v>154.01</v>
      </c>
      <c r="G302" s="43"/>
      <c r="H302" s="44">
        <v>2.4</v>
      </c>
      <c r="I302" s="46">
        <f t="shared" si="21"/>
        <v>369.62399999999997</v>
      </c>
      <c r="J302" s="42" t="s">
        <v>59</v>
      </c>
      <c r="K302" s="42" t="s">
        <v>270</v>
      </c>
    </row>
    <row r="303" spans="2:11" ht="18.75" x14ac:dyDescent="0.25">
      <c r="B303" s="42">
        <f t="shared" si="22"/>
        <v>293</v>
      </c>
      <c r="C303" s="43" t="s">
        <v>112</v>
      </c>
      <c r="D303" s="44" t="s">
        <v>86</v>
      </c>
      <c r="E303" s="44" t="s">
        <v>146</v>
      </c>
      <c r="F303" s="45">
        <v>153.93</v>
      </c>
      <c r="G303" s="43"/>
      <c r="H303" s="44">
        <v>2.4</v>
      </c>
      <c r="I303" s="46">
        <f t="shared" si="21"/>
        <v>369.43200000000002</v>
      </c>
      <c r="J303" s="42" t="s">
        <v>49</v>
      </c>
      <c r="K303" s="42" t="s">
        <v>270</v>
      </c>
    </row>
    <row r="304" spans="2:11" ht="18.75" x14ac:dyDescent="0.25">
      <c r="B304" s="42">
        <f t="shared" si="22"/>
        <v>294</v>
      </c>
      <c r="C304" s="43" t="s">
        <v>112</v>
      </c>
      <c r="D304" s="44" t="s">
        <v>87</v>
      </c>
      <c r="E304" s="44" t="s">
        <v>145</v>
      </c>
      <c r="F304" s="45">
        <v>42.05</v>
      </c>
      <c r="G304" s="43"/>
      <c r="H304" s="44">
        <v>2.4</v>
      </c>
      <c r="I304" s="46">
        <f t="shared" si="21"/>
        <v>100.91999999999999</v>
      </c>
      <c r="J304" s="42" t="s">
        <v>147</v>
      </c>
      <c r="K304" s="42" t="s">
        <v>270</v>
      </c>
    </row>
    <row r="305" spans="2:11" ht="18.75" x14ac:dyDescent="0.25">
      <c r="B305" s="42">
        <f t="shared" si="22"/>
        <v>295</v>
      </c>
      <c r="C305" s="43" t="s">
        <v>112</v>
      </c>
      <c r="D305" s="44" t="s">
        <v>88</v>
      </c>
      <c r="E305" s="44" t="s">
        <v>145</v>
      </c>
      <c r="F305" s="45">
        <v>41.92</v>
      </c>
      <c r="G305" s="43"/>
      <c r="H305" s="44">
        <v>2.4</v>
      </c>
      <c r="I305" s="46">
        <f t="shared" si="21"/>
        <v>100.608</v>
      </c>
      <c r="J305" s="42" t="s">
        <v>163</v>
      </c>
      <c r="K305" s="42" t="s">
        <v>270</v>
      </c>
    </row>
    <row r="306" spans="2:11" ht="18.75" x14ac:dyDescent="0.25">
      <c r="B306" s="42">
        <f t="shared" si="22"/>
        <v>296</v>
      </c>
      <c r="C306" s="43" t="s">
        <v>112</v>
      </c>
      <c r="D306" s="44" t="s">
        <v>84</v>
      </c>
      <c r="E306" s="44" t="s">
        <v>148</v>
      </c>
      <c r="F306" s="45">
        <v>148.04</v>
      </c>
      <c r="G306" s="43"/>
      <c r="H306" s="44">
        <v>2.4</v>
      </c>
      <c r="I306" s="46">
        <f t="shared" si="21"/>
        <v>355.29599999999999</v>
      </c>
      <c r="J306" s="42" t="s">
        <v>149</v>
      </c>
      <c r="K306" s="42" t="s">
        <v>270</v>
      </c>
    </row>
    <row r="307" spans="2:11" ht="18.75" x14ac:dyDescent="0.25">
      <c r="B307" s="42">
        <f t="shared" si="22"/>
        <v>297</v>
      </c>
      <c r="C307" s="43" t="s">
        <v>112</v>
      </c>
      <c r="D307" s="44" t="s">
        <v>86</v>
      </c>
      <c r="E307" s="44" t="s">
        <v>148</v>
      </c>
      <c r="F307" s="45">
        <v>147.97</v>
      </c>
      <c r="G307" s="43"/>
      <c r="H307" s="44">
        <v>2.4</v>
      </c>
      <c r="I307" s="46">
        <f t="shared" si="21"/>
        <v>355.12799999999999</v>
      </c>
      <c r="J307" s="42" t="s">
        <v>51</v>
      </c>
      <c r="K307" s="42" t="s">
        <v>270</v>
      </c>
    </row>
    <row r="308" spans="2:11" ht="18.75" x14ac:dyDescent="0.25">
      <c r="B308" s="42">
        <f t="shared" si="22"/>
        <v>298</v>
      </c>
      <c r="C308" s="43" t="s">
        <v>189</v>
      </c>
      <c r="D308" s="44" t="s">
        <v>150</v>
      </c>
      <c r="E308" s="44" t="s">
        <v>148</v>
      </c>
      <c r="F308" s="44">
        <v>47.92</v>
      </c>
      <c r="G308" s="43"/>
      <c r="H308" s="44">
        <v>2.4</v>
      </c>
      <c r="I308" s="46">
        <f t="shared" si="21"/>
        <v>115.008</v>
      </c>
      <c r="J308" s="42" t="s">
        <v>161</v>
      </c>
      <c r="K308" s="42" t="s">
        <v>270</v>
      </c>
    </row>
    <row r="309" spans="2:11" ht="18.75" x14ac:dyDescent="0.25">
      <c r="B309" s="42">
        <f t="shared" si="22"/>
        <v>299</v>
      </c>
      <c r="C309" s="43" t="s">
        <v>112</v>
      </c>
      <c r="D309" s="44" t="s">
        <v>88</v>
      </c>
      <c r="E309" s="44" t="s">
        <v>151</v>
      </c>
      <c r="F309" s="45">
        <v>47.78</v>
      </c>
      <c r="G309" s="43"/>
      <c r="H309" s="44">
        <v>2.4</v>
      </c>
      <c r="I309" s="46">
        <f t="shared" si="21"/>
        <v>114.672</v>
      </c>
      <c r="J309" s="42" t="s">
        <v>152</v>
      </c>
      <c r="K309" s="42" t="s">
        <v>270</v>
      </c>
    </row>
    <row r="310" spans="2:11" ht="18.75" x14ac:dyDescent="0.25">
      <c r="B310" s="42">
        <f t="shared" si="22"/>
        <v>300</v>
      </c>
      <c r="C310" s="43" t="s">
        <v>112</v>
      </c>
      <c r="D310" s="44" t="s">
        <v>84</v>
      </c>
      <c r="E310" s="44" t="s">
        <v>153</v>
      </c>
      <c r="F310" s="45">
        <v>100.46</v>
      </c>
      <c r="G310" s="43"/>
      <c r="H310" s="44">
        <v>2.4</v>
      </c>
      <c r="I310" s="46">
        <f t="shared" si="21"/>
        <v>241.10399999999998</v>
      </c>
      <c r="J310" s="42" t="s">
        <v>154</v>
      </c>
      <c r="K310" s="42" t="s">
        <v>270</v>
      </c>
    </row>
    <row r="311" spans="2:11" ht="18.75" x14ac:dyDescent="0.25">
      <c r="B311" s="42">
        <f t="shared" si="22"/>
        <v>301</v>
      </c>
      <c r="C311" s="43" t="s">
        <v>112</v>
      </c>
      <c r="D311" s="44" t="s">
        <v>86</v>
      </c>
      <c r="E311" s="44" t="s">
        <v>153</v>
      </c>
      <c r="F311" s="45">
        <v>100.46</v>
      </c>
      <c r="G311" s="43"/>
      <c r="H311" s="44">
        <v>2.4</v>
      </c>
      <c r="I311" s="46">
        <f t="shared" si="21"/>
        <v>241.10399999999998</v>
      </c>
      <c r="J311" s="42" t="s">
        <v>154</v>
      </c>
      <c r="K311" s="42" t="s">
        <v>270</v>
      </c>
    </row>
    <row r="312" spans="2:11" ht="18.75" x14ac:dyDescent="0.25">
      <c r="B312" s="42">
        <f t="shared" si="22"/>
        <v>302</v>
      </c>
      <c r="C312" s="43" t="s">
        <v>112</v>
      </c>
      <c r="D312" s="44" t="s">
        <v>87</v>
      </c>
      <c r="E312" s="44" t="s">
        <v>153</v>
      </c>
      <c r="F312" s="45">
        <v>91.09</v>
      </c>
      <c r="G312" s="43"/>
      <c r="H312" s="44">
        <v>2.4</v>
      </c>
      <c r="I312" s="46">
        <f t="shared" si="21"/>
        <v>218.61600000000001</v>
      </c>
      <c r="J312" s="42" t="s">
        <v>33</v>
      </c>
      <c r="K312" s="42" t="s">
        <v>270</v>
      </c>
    </row>
    <row r="313" spans="2:11" ht="18.75" x14ac:dyDescent="0.25">
      <c r="B313" s="42">
        <f t="shared" si="22"/>
        <v>303</v>
      </c>
      <c r="C313" s="43" t="s">
        <v>112</v>
      </c>
      <c r="D313" s="44" t="s">
        <v>88</v>
      </c>
      <c r="E313" s="44" t="s">
        <v>153</v>
      </c>
      <c r="F313" s="45">
        <v>91.09</v>
      </c>
      <c r="G313" s="43"/>
      <c r="H313" s="44">
        <v>2.4</v>
      </c>
      <c r="I313" s="46">
        <f t="shared" si="21"/>
        <v>218.61600000000001</v>
      </c>
      <c r="J313" s="42" t="s">
        <v>155</v>
      </c>
      <c r="K313" s="42" t="s">
        <v>270</v>
      </c>
    </row>
    <row r="314" spans="2:11" ht="18.75" x14ac:dyDescent="0.25">
      <c r="B314" s="42">
        <f t="shared" si="22"/>
        <v>304</v>
      </c>
      <c r="C314" s="43" t="s">
        <v>112</v>
      </c>
      <c r="D314" s="44" t="s">
        <v>84</v>
      </c>
      <c r="E314" s="44" t="s">
        <v>156</v>
      </c>
      <c r="F314" s="45">
        <v>210.88</v>
      </c>
      <c r="G314" s="43"/>
      <c r="H314" s="44">
        <v>2.4</v>
      </c>
      <c r="I314" s="46">
        <f t="shared" si="21"/>
        <v>506.11199999999997</v>
      </c>
      <c r="J314" s="42" t="s">
        <v>32</v>
      </c>
      <c r="K314" s="42" t="s">
        <v>270</v>
      </c>
    </row>
    <row r="315" spans="2:11" ht="18.75" x14ac:dyDescent="0.25">
      <c r="B315" s="42">
        <f t="shared" si="22"/>
        <v>305</v>
      </c>
      <c r="C315" s="43" t="s">
        <v>112</v>
      </c>
      <c r="D315" s="44" t="s">
        <v>86</v>
      </c>
      <c r="E315" s="44" t="s">
        <v>156</v>
      </c>
      <c r="F315" s="45">
        <v>91.19</v>
      </c>
      <c r="G315" s="43"/>
      <c r="H315" s="44">
        <v>2.4</v>
      </c>
      <c r="I315" s="46">
        <f t="shared" si="21"/>
        <v>218.85599999999999</v>
      </c>
      <c r="J315" s="42" t="s">
        <v>47</v>
      </c>
      <c r="K315" s="42" t="s">
        <v>270</v>
      </c>
    </row>
    <row r="316" spans="2:11" ht="18.75" x14ac:dyDescent="0.25">
      <c r="B316" s="42">
        <f t="shared" si="22"/>
        <v>306</v>
      </c>
      <c r="C316" s="43" t="s">
        <v>112</v>
      </c>
      <c r="D316" s="44" t="s">
        <v>87</v>
      </c>
      <c r="E316" s="44" t="s">
        <v>156</v>
      </c>
      <c r="F316" s="45">
        <v>90.81</v>
      </c>
      <c r="G316" s="43"/>
      <c r="H316" s="44">
        <v>2.4</v>
      </c>
      <c r="I316" s="46">
        <f t="shared" si="21"/>
        <v>217.94399999999999</v>
      </c>
      <c r="J316" s="42" t="s">
        <v>40</v>
      </c>
      <c r="K316" s="42" t="s">
        <v>270</v>
      </c>
    </row>
    <row r="317" spans="2:11" ht="18.75" x14ac:dyDescent="0.25">
      <c r="B317" s="42">
        <f t="shared" si="22"/>
        <v>307</v>
      </c>
      <c r="C317" s="43" t="s">
        <v>112</v>
      </c>
      <c r="D317" s="44" t="s">
        <v>84</v>
      </c>
      <c r="E317" s="44" t="s">
        <v>157</v>
      </c>
      <c r="F317" s="45">
        <v>260.95999999999998</v>
      </c>
      <c r="G317" s="43"/>
      <c r="H317" s="44">
        <v>2.4</v>
      </c>
      <c r="I317" s="46">
        <f t="shared" si="21"/>
        <v>626.30399999999997</v>
      </c>
      <c r="J317" s="42" t="s">
        <v>158</v>
      </c>
      <c r="K317" s="42" t="s">
        <v>270</v>
      </c>
    </row>
    <row r="318" spans="2:11" ht="18.75" x14ac:dyDescent="0.25">
      <c r="B318" s="42">
        <f t="shared" si="22"/>
        <v>308</v>
      </c>
      <c r="C318" s="43" t="s">
        <v>112</v>
      </c>
      <c r="D318" s="44" t="s">
        <v>86</v>
      </c>
      <c r="E318" s="44" t="s">
        <v>157</v>
      </c>
      <c r="F318" s="45">
        <v>254.76</v>
      </c>
      <c r="G318" s="43"/>
      <c r="H318" s="44">
        <v>2.4</v>
      </c>
      <c r="I318" s="46">
        <f t="shared" si="21"/>
        <v>611.42399999999998</v>
      </c>
      <c r="J318" s="42" t="s">
        <v>23</v>
      </c>
      <c r="K318" s="42" t="s">
        <v>270</v>
      </c>
    </row>
    <row r="319" spans="2:11" ht="18.75" x14ac:dyDescent="0.25">
      <c r="B319" s="42">
        <f t="shared" si="22"/>
        <v>309</v>
      </c>
      <c r="C319" s="43" t="s">
        <v>112</v>
      </c>
      <c r="D319" s="44">
        <v>30</v>
      </c>
      <c r="E319" s="44" t="s">
        <v>279</v>
      </c>
      <c r="F319" s="45">
        <v>253.93</v>
      </c>
      <c r="G319" s="47"/>
      <c r="H319" s="44">
        <v>2.4</v>
      </c>
      <c r="I319" s="46">
        <f t="shared" si="21"/>
        <v>609.43200000000002</v>
      </c>
      <c r="J319" s="42" t="s">
        <v>161</v>
      </c>
      <c r="K319" s="42" t="s">
        <v>270</v>
      </c>
    </row>
    <row r="320" spans="2:11" x14ac:dyDescent="0.25">
      <c r="B320" s="26"/>
      <c r="C320" s="63" t="s">
        <v>159</v>
      </c>
      <c r="D320" s="63"/>
      <c r="E320" s="63"/>
      <c r="F320" s="41">
        <f>SUM(F11:F319)</f>
        <v>12559.760000000006</v>
      </c>
      <c r="G320" s="66"/>
      <c r="H320" s="67"/>
      <c r="I320" s="14"/>
      <c r="J320" s="13"/>
      <c r="K320" s="9"/>
    </row>
    <row r="321" spans="2:12" x14ac:dyDescent="0.25">
      <c r="B321" s="26"/>
      <c r="C321" s="63" t="s">
        <v>160</v>
      </c>
      <c r="D321" s="63"/>
      <c r="E321" s="63"/>
      <c r="F321" s="63"/>
      <c r="G321" s="63"/>
      <c r="H321" s="63"/>
      <c r="I321" s="15">
        <f>SUM(I11:I319)</f>
        <v>35468.958000000013</v>
      </c>
      <c r="J321" s="13"/>
      <c r="K321" s="9"/>
      <c r="L321" s="15">
        <f>SUM(L11:L319)</f>
        <v>2815.848</v>
      </c>
    </row>
    <row r="322" spans="2:12" x14ac:dyDescent="0.25">
      <c r="B322" s="26"/>
      <c r="C322" s="26"/>
      <c r="D322" s="26"/>
      <c r="E322" s="26"/>
      <c r="F322" s="26"/>
      <c r="G322" s="26"/>
      <c r="H322" s="26"/>
    </row>
    <row r="323" spans="2:12" x14ac:dyDescent="0.25">
      <c r="B323" s="26"/>
      <c r="C323" s="26"/>
      <c r="D323" s="26"/>
      <c r="E323" s="26"/>
      <c r="F323" s="26"/>
      <c r="G323" s="26"/>
      <c r="H323" s="26"/>
    </row>
    <row r="324" spans="2:12" x14ac:dyDescent="0.25">
      <c r="B324" s="26"/>
      <c r="C324" s="26"/>
      <c r="D324" s="26"/>
      <c r="E324" s="26"/>
      <c r="F324" s="26"/>
      <c r="G324" s="26"/>
      <c r="H324" s="26"/>
    </row>
    <row r="325" spans="2:12" x14ac:dyDescent="0.25">
      <c r="B325" s="26"/>
      <c r="C325" s="26"/>
      <c r="D325" s="26"/>
      <c r="E325" s="26"/>
      <c r="F325" s="26"/>
      <c r="G325" s="26"/>
      <c r="H325" s="26"/>
    </row>
    <row r="326" spans="2:12" x14ac:dyDescent="0.25">
      <c r="B326" s="26"/>
      <c r="C326" s="26"/>
      <c r="D326" s="26"/>
      <c r="E326" s="26"/>
      <c r="F326" s="26"/>
      <c r="G326" s="26"/>
      <c r="H326" s="26"/>
    </row>
    <row r="327" spans="2:12" x14ac:dyDescent="0.25">
      <c r="B327" s="26"/>
      <c r="C327" s="26"/>
      <c r="D327" s="26"/>
      <c r="E327" s="26"/>
      <c r="F327" s="26"/>
      <c r="G327" s="26"/>
      <c r="H327" s="26"/>
    </row>
    <row r="328" spans="2:12" x14ac:dyDescent="0.25">
      <c r="B328" s="26"/>
      <c r="C328" s="26"/>
      <c r="D328" s="26"/>
      <c r="E328" s="26"/>
      <c r="F328" s="26"/>
      <c r="G328" s="26"/>
      <c r="H328" s="26"/>
    </row>
  </sheetData>
  <mergeCells count="6">
    <mergeCell ref="C321:H321"/>
    <mergeCell ref="C5:I5"/>
    <mergeCell ref="C6:I6"/>
    <mergeCell ref="C7:I7"/>
    <mergeCell ref="C320:E320"/>
    <mergeCell ref="G320:H3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ricardo angel duran mamani</cp:lastModifiedBy>
  <cp:lastPrinted>2026-03-16T22:15:03Z</cp:lastPrinted>
  <dcterms:created xsi:type="dcterms:W3CDTF">2024-12-09T16:03:42Z</dcterms:created>
  <dcterms:modified xsi:type="dcterms:W3CDTF">2026-06-09T19:04:25Z</dcterms:modified>
</cp:coreProperties>
</file>